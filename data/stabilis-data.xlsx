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ersification" sheetId="1" r:id="rId1"/>
    <sheet name="Turnaround" sheetId="2" r:id="rId2"/>
    <sheet name="Wellness" sheetId="3" r:id="rId3"/>
    <sheet name="Monthly Income" sheetId="4" r:id="rId4"/>
    <sheet name="Budget Q1 2026" sheetId="5" r:id="rId5"/>
    <sheet name="Budget FY 2026-27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sheetData>
    <row r="1">
      <c r="A1" t="str">
        <v>STABILIS DIVERSIFICATION PROJECT</v>
      </c>
    </row>
    <row r="2">
      <c r="A2" t="str">
        <v/>
      </c>
    </row>
    <row r="3">
      <c r="A3" t="str">
        <v>INVESTMENT BREAKDOWN</v>
      </c>
    </row>
    <row r="4">
      <c r="A4" t="str">
        <v>Item</v>
      </c>
      <c r="B4" t="str">
        <v>Amount (R)</v>
      </c>
    </row>
    <row r="5">
      <c r="A5" t="str">
        <v>Setup Costs</v>
      </c>
      <c r="B5">
        <v>15000</v>
      </c>
    </row>
    <row r="6">
      <c r="A6" t="str">
        <v>Equipment</v>
      </c>
      <c r="B6">
        <v>50000</v>
      </c>
    </row>
    <row r="7">
      <c r="A7" t="str">
        <v>Staffing (6 months)</v>
      </c>
      <c r="B7">
        <v>300000</v>
      </c>
    </row>
    <row r="8">
      <c r="A8" t="str">
        <v>Marketing</v>
      </c>
      <c r="B8">
        <v>50000</v>
      </c>
    </row>
    <row r="9">
      <c r="A9" t="str">
        <v>Contingency</v>
      </c>
      <c r="B9">
        <v>100000</v>
      </c>
    </row>
    <row r="10">
      <c r="A10" t="str">
        <v>Total Investment</v>
      </c>
      <c r="B10">
        <f>SUM(B5:B9)</f>
        <v>515000</v>
      </c>
    </row>
    <row r="11">
      <c r="A11" t="str">
        <v/>
      </c>
    </row>
    <row r="12">
      <c r="A12" t="str">
        <v>REVENUE PROJECTIONS</v>
      </c>
    </row>
    <row r="13">
      <c r="A13" t="str">
        <v>Source</v>
      </c>
      <c r="B13" t="str">
        <v>Year 1 (R)</v>
      </c>
      <c r="C13" t="str">
        <v>Year 2 (R)</v>
      </c>
      <c r="D13" t="str">
        <v>Year 3 (R)</v>
      </c>
    </row>
    <row r="14">
      <c r="A14" t="str">
        <v>New Programs</v>
      </c>
      <c r="B14">
        <v>500000</v>
      </c>
      <c r="C14">
        <v>750000</v>
      </c>
      <c r="D14">
        <v>1000000</v>
      </c>
    </row>
    <row r="15">
      <c r="A15" t="str">
        <v>Expanded Services</v>
      </c>
      <c r="B15">
        <v>300000</v>
      </c>
      <c r="C15">
        <v>450000</v>
      </c>
      <c r="D15">
        <v>600000</v>
      </c>
    </row>
    <row r="16">
      <c r="A16" t="str">
        <v>Partnerships</v>
      </c>
      <c r="B16">
        <v>200000</v>
      </c>
      <c r="C16">
        <v>300000</v>
      </c>
      <c r="D16">
        <v>400000</v>
      </c>
    </row>
    <row r="17">
      <c r="A17" t="str">
        <v>Projected Revenue</v>
      </c>
      <c r="B17">
        <f>SUM(B14:B16)</f>
        <v>1000000</v>
      </c>
      <c r="C17">
        <f>SUM(C14:C16)</f>
        <v>1500000</v>
      </c>
      <c r="D17">
        <f>SUM(D14:D16)</f>
        <v>2000000</v>
      </c>
    </row>
    <row r="18">
      <c r="A18" t="str">
        <v/>
      </c>
    </row>
    <row r="19">
      <c r="A19" t="str">
        <v>RETURN ON INVESTMENT</v>
      </c>
    </row>
    <row r="20">
      <c r="A20" t="str">
        <v>Total Investment</v>
      </c>
      <c r="B20">
        <f>B10</f>
        <v>515000</v>
      </c>
    </row>
    <row r="21">
      <c r="A21" t="str">
        <v>Total 3-Year Revenue</v>
      </c>
      <c r="B21">
        <f>B17+C17+D17</f>
        <v>4500000</v>
      </c>
    </row>
    <row r="22">
      <c r="A22" t="str">
        <v>Net Gain</v>
      </c>
      <c r="B22">
        <f>B21-B20</f>
        <v>3985000</v>
      </c>
    </row>
    <row r="23">
      <c r="A23" t="str">
        <v>ROI %</v>
      </c>
      <c r="B23">
        <f>(B22/B20)*100</f>
        <v>773.7864077669902</v>
      </c>
    </row>
    <row r="24">
      <c r="A24" t="str">
        <v>Payback Period (months)</v>
      </c>
      <c r="B24">
        <f>(B20/(B17/12))</f>
        <v>6.180000000000001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sheetData>
    <row r="1">
      <c r="A1" t="str">
        <v>STABILIS TURNAROUND PROJECT</v>
      </c>
    </row>
    <row r="2">
      <c r="A2" t="str">
        <v/>
      </c>
    </row>
    <row r="3">
      <c r="A3" t="str">
        <v>INVESTMENT BREAKDOWN</v>
      </c>
    </row>
    <row r="4">
      <c r="A4" t="str">
        <v>Item</v>
      </c>
      <c r="B4" t="str">
        <v>Amount (R)</v>
      </c>
    </row>
    <row r="5">
      <c r="A5" t="str">
        <v>Consultant Fees</v>
      </c>
      <c r="B5">
        <v>50000</v>
      </c>
    </row>
    <row r="6">
      <c r="A6" t="str">
        <v>Process Restructuring</v>
      </c>
      <c r="B6">
        <v>30000</v>
      </c>
    </row>
    <row r="7">
      <c r="A7" t="str">
        <v>Technology Upgrade</v>
      </c>
      <c r="B7">
        <v>40000</v>
      </c>
    </row>
    <row r="8">
      <c r="A8" t="str">
        <v>Staff Training</v>
      </c>
      <c r="B8">
        <v>20000</v>
      </c>
    </row>
    <row r="9">
      <c r="A9" t="str">
        <v>Contingency</v>
      </c>
      <c r="B9">
        <v>15000</v>
      </c>
    </row>
    <row r="10">
      <c r="A10" t="str">
        <v>Total Investment</v>
      </c>
      <c r="B10">
        <f>SUM(B5:B9)</f>
        <v>155000</v>
      </c>
    </row>
    <row r="11">
      <c r="A11" t="str">
        <v/>
      </c>
    </row>
    <row r="12">
      <c r="A12" t="str">
        <v>REVENUE PROJECTIONS</v>
      </c>
    </row>
    <row r="13">
      <c r="A13" t="str">
        <v>Source</v>
      </c>
      <c r="B13" t="str">
        <v>Year 1 (R)</v>
      </c>
      <c r="C13" t="str">
        <v>Year 2 (R)</v>
      </c>
      <c r="D13" t="str">
        <v>Year 3 (R)</v>
      </c>
    </row>
    <row r="14">
      <c r="A14" t="str">
        <v>Cost Savings</v>
      </c>
      <c r="B14">
        <v>800000</v>
      </c>
      <c r="C14">
        <v>1000000</v>
      </c>
      <c r="D14">
        <v>1200000</v>
      </c>
    </row>
    <row r="15">
      <c r="A15" t="str">
        <v>Efficiency Gains</v>
      </c>
      <c r="B15">
        <v>600000</v>
      </c>
      <c r="C15">
        <v>750000</v>
      </c>
      <c r="D15">
        <v>900000</v>
      </c>
    </row>
    <row r="16">
      <c r="A16" t="str">
        <v>New Revenue Streams</v>
      </c>
      <c r="B16">
        <v>400000</v>
      </c>
      <c r="C16">
        <v>600000</v>
      </c>
      <c r="D16">
        <v>800000</v>
      </c>
    </row>
    <row r="17">
      <c r="A17" t="str">
        <v>Projected Revenue</v>
      </c>
      <c r="B17">
        <f>SUM(B14:B16)</f>
        <v>1800000</v>
      </c>
      <c r="C17">
        <f>SUM(C14:C16)</f>
        <v>2350000</v>
      </c>
      <c r="D17">
        <f>SUM(D14:D16)</f>
        <v>2900000</v>
      </c>
    </row>
    <row r="18">
      <c r="A18" t="str">
        <v/>
      </c>
    </row>
    <row r="19">
      <c r="A19" t="str">
        <v>RETURN ON INVESTMENT</v>
      </c>
    </row>
    <row r="20">
      <c r="A20" t="str">
        <v>Total Investment</v>
      </c>
      <c r="B20">
        <f>B10</f>
        <v>155000</v>
      </c>
    </row>
    <row r="21">
      <c r="A21" t="str">
        <v>Total 3-Year Revenue</v>
      </c>
      <c r="B21">
        <f>B17+C17+D17</f>
        <v>7050000</v>
      </c>
    </row>
    <row r="22">
      <c r="A22" t="str">
        <v>Net Gain</v>
      </c>
      <c r="B22">
        <f>B21-B20</f>
        <v>6895000</v>
      </c>
    </row>
    <row r="23">
      <c r="A23" t="str">
        <v>ROI %</v>
      </c>
      <c r="B23">
        <f>(B22/B20)*100</f>
        <v>4448.387096774193</v>
      </c>
    </row>
    <row r="24">
      <c r="A24" t="str">
        <v>Payback Period (months)</v>
      </c>
      <c r="B24">
        <f>(B20/(B17/12))</f>
        <v>1.0333333333333334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sheetData>
    <row r="1">
      <c r="A1" t="str">
        <v>STABILIS WELLNESS CENTRE PROJECT</v>
      </c>
    </row>
    <row r="2">
      <c r="A2" t="str">
        <v/>
      </c>
    </row>
    <row r="3">
      <c r="A3" t="str">
        <v>INVESTMENT BREAKDOWN</v>
      </c>
    </row>
    <row r="4">
      <c r="A4" t="str">
        <v>Item</v>
      </c>
      <c r="B4" t="str">
        <v>Amount (R)</v>
      </c>
    </row>
    <row r="5">
      <c r="A5" t="str">
        <v>Facility Setup</v>
      </c>
      <c r="B5">
        <v>100000</v>
      </c>
    </row>
    <row r="6">
      <c r="A6" t="str">
        <v>Medical Equipment</v>
      </c>
      <c r="B6">
        <v>80000</v>
      </c>
    </row>
    <row r="7">
      <c r="A7" t="str">
        <v>Staffing (First Year)</v>
      </c>
      <c r="B7">
        <v>120000</v>
      </c>
    </row>
    <row r="8">
      <c r="A8" t="str">
        <v>Marketing &amp; Launch</v>
      </c>
      <c r="B8">
        <v>30000</v>
      </c>
    </row>
    <row r="9">
      <c r="A9" t="str">
        <v>Contingency</v>
      </c>
      <c r="B9">
        <v>250000</v>
      </c>
    </row>
    <row r="10">
      <c r="A10" t="str">
        <v>Total Investment</v>
      </c>
      <c r="B10">
        <f>SUM(B5:B9)</f>
        <v>580000</v>
      </c>
    </row>
    <row r="11">
      <c r="A11" t="str">
        <v/>
      </c>
    </row>
    <row r="12">
      <c r="A12" t="str">
        <v>REVENUE PROJECTIONS</v>
      </c>
    </row>
    <row r="13">
      <c r="A13" t="str">
        <v>Source</v>
      </c>
      <c r="B13" t="str">
        <v>Year 1 (R)</v>
      </c>
      <c r="C13" t="str">
        <v>Year 2 (R)</v>
      </c>
      <c r="D13" t="str">
        <v>Year 3 (R)</v>
      </c>
    </row>
    <row r="14">
      <c r="A14" t="str">
        <v>Clinical Services</v>
      </c>
      <c r="B14">
        <v>1500000</v>
      </c>
      <c r="C14">
        <v>2000000</v>
      </c>
      <c r="D14">
        <v>2500000</v>
      </c>
    </row>
    <row r="15">
      <c r="A15" t="str">
        <v>Wellness Programs</v>
      </c>
      <c r="B15">
        <v>800000</v>
      </c>
      <c r="C15">
        <v>1200000</v>
      </c>
      <c r="D15">
        <v>1600000</v>
      </c>
    </row>
    <row r="16">
      <c r="A16" t="str">
        <v>Corporate Contracts</v>
      </c>
      <c r="B16">
        <v>1000000</v>
      </c>
      <c r="C16">
        <v>1500000</v>
      </c>
      <c r="D16">
        <v>2000000</v>
      </c>
    </row>
    <row r="17">
      <c r="A17" t="str">
        <v>Projected Revenue</v>
      </c>
      <c r="B17">
        <f>SUM(B14:B16)</f>
        <v>3300000</v>
      </c>
      <c r="C17">
        <f>SUM(C14:C16)</f>
        <v>4700000</v>
      </c>
      <c r="D17">
        <f>SUM(D14:D16)</f>
        <v>6100000</v>
      </c>
    </row>
    <row r="18">
      <c r="A18" t="str">
        <v/>
      </c>
    </row>
    <row r="19">
      <c r="A19" t="str">
        <v>RETURN ON INVESTMENT</v>
      </c>
    </row>
    <row r="20">
      <c r="A20" t="str">
        <v>Total Investment</v>
      </c>
      <c r="B20">
        <f>B10</f>
        <v>580000</v>
      </c>
    </row>
    <row r="21">
      <c r="A21" t="str">
        <v>Total 3-Year Revenue</v>
      </c>
      <c r="B21">
        <f>B17+C17+D17</f>
        <v>14100000</v>
      </c>
    </row>
    <row r="22">
      <c r="A22" t="str">
        <v>Net Gain</v>
      </c>
      <c r="B22">
        <f>B21-B20</f>
        <v>13520000</v>
      </c>
    </row>
    <row r="23">
      <c r="A23" t="str">
        <v>ROI %</v>
      </c>
      <c r="B23">
        <f>(B22/B20)*100</f>
        <v>2331.0344827586205</v>
      </c>
    </row>
    <row r="24">
      <c r="A24" t="str">
        <v>Payback Period (months)</v>
      </c>
      <c r="B24">
        <f>(B20/(B17/12))</f>
        <v>2.109090909090909</v>
      </c>
    </row>
  </sheetData>
  <pageMargins left="0.7" right="0.7" top="0.75" bottom="0.75" header="0.3" footer="0.3"/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 rightToLeft="0"/>
  </sheetViews>
  <sheetData>
    <row r="1">
      <c r="A1" t="str">
        <v>MONTHLY INCOME TRACKING - 2025</v>
      </c>
    </row>
    <row r="2">
      <c r="A2" t="str">
        <v/>
      </c>
    </row>
    <row r="3">
      <c r="A3" t="str">
        <v>Month</v>
      </c>
      <c r="B3" t="str">
        <v>Diversification</v>
      </c>
      <c r="C3" t="str">
        <v>Turnaround</v>
      </c>
      <c r="D3" t="str">
        <v>Wellness</v>
      </c>
      <c r="E3" t="str">
        <v>Total</v>
      </c>
    </row>
    <row r="4">
      <c r="A4" t="str">
        <v>January</v>
      </c>
      <c r="B4">
        <v>0</v>
      </c>
      <c r="C4">
        <v>0</v>
      </c>
      <c r="D4">
        <v>0</v>
      </c>
      <c r="E4">
        <f>SUM(B4:D4)</f>
        <v>0</v>
      </c>
    </row>
    <row r="5">
      <c r="A5" t="str">
        <v>February</v>
      </c>
      <c r="B5">
        <v>0</v>
      </c>
      <c r="C5">
        <v>0</v>
      </c>
      <c r="D5">
        <v>0</v>
      </c>
      <c r="E5">
        <f>SUM(B5:D5)</f>
        <v>0</v>
      </c>
    </row>
    <row r="6">
      <c r="A6" t="str">
        <v>March</v>
      </c>
      <c r="B6">
        <v>0</v>
      </c>
      <c r="C6">
        <v>0</v>
      </c>
      <c r="D6">
        <v>0</v>
      </c>
      <c r="E6">
        <f>SUM(B6:D6)</f>
        <v>0</v>
      </c>
    </row>
    <row r="7">
      <c r="A7" t="str">
        <v>April</v>
      </c>
      <c r="B7">
        <v>0</v>
      </c>
      <c r="C7">
        <v>0</v>
      </c>
      <c r="D7">
        <v>0</v>
      </c>
      <c r="E7">
        <f>SUM(B7:D7)</f>
        <v>0</v>
      </c>
    </row>
    <row r="8">
      <c r="A8" t="str">
        <v>May</v>
      </c>
      <c r="B8">
        <v>0</v>
      </c>
      <c r="C8">
        <v>0</v>
      </c>
      <c r="D8">
        <v>0</v>
      </c>
      <c r="E8">
        <f>SUM(B8:D8)</f>
        <v>0</v>
      </c>
    </row>
    <row r="9">
      <c r="A9" t="str">
        <v>June</v>
      </c>
      <c r="B9">
        <v>0</v>
      </c>
      <c r="C9">
        <v>0</v>
      </c>
      <c r="D9">
        <v>0</v>
      </c>
      <c r="E9">
        <f>SUM(B9:D9)</f>
        <v>0</v>
      </c>
    </row>
    <row r="10">
      <c r="A10" t="str">
        <v>July</v>
      </c>
      <c r="B10">
        <v>0</v>
      </c>
      <c r="C10">
        <v>0</v>
      </c>
      <c r="D10">
        <v>0</v>
      </c>
      <c r="E10">
        <f>SUM(B10:D10)</f>
        <v>0</v>
      </c>
    </row>
    <row r="11">
      <c r="A11" t="str">
        <v>August</v>
      </c>
      <c r="B11">
        <v>0</v>
      </c>
      <c r="C11">
        <v>0</v>
      </c>
      <c r="D11">
        <v>0</v>
      </c>
      <c r="E11">
        <f>SUM(B11:D11)</f>
        <v>0</v>
      </c>
    </row>
    <row r="12">
      <c r="A12" t="str">
        <v>September</v>
      </c>
      <c r="B12">
        <v>0</v>
      </c>
      <c r="C12">
        <v>0</v>
      </c>
      <c r="D12">
        <v>0</v>
      </c>
      <c r="E12">
        <f>SUM(B12:D12)</f>
        <v>0</v>
      </c>
    </row>
    <row r="13">
      <c r="A13" t="str">
        <v>October</v>
      </c>
      <c r="B13">
        <v>0</v>
      </c>
      <c r="C13">
        <v>0</v>
      </c>
      <c r="D13">
        <v>0</v>
      </c>
      <c r="E13">
        <f>SUM(B13:D13)</f>
        <v>0</v>
      </c>
    </row>
    <row r="14">
      <c r="A14" t="str">
        <v>November</v>
      </c>
      <c r="B14">
        <v>0</v>
      </c>
      <c r="C14">
        <v>0</v>
      </c>
      <c r="D14">
        <v>0</v>
      </c>
      <c r="E14">
        <f>SUM(B14:D14)</f>
        <v>0</v>
      </c>
    </row>
    <row r="15">
      <c r="A15" t="str">
        <v>December</v>
      </c>
      <c r="B15">
        <v>0</v>
      </c>
      <c r="C15">
        <v>0</v>
      </c>
      <c r="D15">
        <v>0</v>
      </c>
      <c r="E15">
        <f>SUM(B15:D15)</f>
        <v>0</v>
      </c>
    </row>
    <row r="16">
      <c r="A16" t="str">
        <v/>
      </c>
    </row>
    <row r="17">
      <c r="A17" t="str">
        <v>TOTALS</v>
      </c>
      <c r="B17">
        <f>SUM(B4:B15)</f>
        <v>0</v>
      </c>
      <c r="C17">
        <f>SUM(C4:C15)</f>
        <v>0</v>
      </c>
      <c r="D17">
        <f>SUM(D4:D15)</f>
        <v>0</v>
      </c>
      <c r="E17">
        <f>SUM(E4:E15)</f>
        <v>0</v>
      </c>
    </row>
  </sheetData>
  <pageMargins left="0.7" right="0.7" top="0.75" bottom="0.75" header="0.3" footer="0.3"/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 rightToLeft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BUDGET: DECEMBER 2025 - MARCH 2026</v>
      </c>
    </row>
    <row r="2">
      <c r="A2" t="str">
        <v>4-Month Period: Crisis Turnaround &amp; Launch</v>
      </c>
    </row>
    <row r="3">
      <c r="A3" t="str">
        <v/>
      </c>
    </row>
    <row r="4">
      <c r="A4" t="str">
        <v>EXECUTIVE SUMMARY</v>
      </c>
    </row>
    <row r="5">
      <c r="A5" t="str">
        <v>Item</v>
      </c>
      <c r="B5" t="str">
        <v>Amount (R)</v>
      </c>
    </row>
    <row r="6">
      <c r="A6" t="str">
        <v>Total Budget</v>
      </c>
      <c r="B6">
        <v>2457000</v>
      </c>
    </row>
    <row r="7">
      <c r="A7" t="str">
        <v>Expected Revenue</v>
      </c>
      <c r="B7">
        <v>469800</v>
      </c>
    </row>
    <row r="8">
      <c r="A8" t="str">
        <v>Net Deficit</v>
      </c>
      <c r="B8">
        <v>-1987200</v>
      </c>
    </row>
    <row r="9">
      <c r="A9" t="str">
        <v>Funding Required</v>
      </c>
      <c r="B9">
        <v>1987200</v>
      </c>
    </row>
    <row r="10">
      <c r="A10" t="str">
        <v/>
      </c>
    </row>
    <row r="11">
      <c r="A11" t="str">
        <v>MONTHLY CASH FLOW</v>
      </c>
    </row>
    <row r="12">
      <c r="A12" t="str">
        <v>Month</v>
      </c>
      <c r="B12" t="str">
        <v>Revenue</v>
      </c>
      <c r="C12" t="str">
        <v>Expenditure</v>
      </c>
      <c r="D12" t="str">
        <v>Net Cash Flow</v>
      </c>
      <c r="E12" t="str">
        <v>Cumulative</v>
      </c>
    </row>
    <row r="13">
      <c r="A13" t="str">
        <v>Dec 2025</v>
      </c>
      <c r="B13">
        <v>0</v>
      </c>
      <c r="C13">
        <v>895000</v>
      </c>
      <c r="D13">
        <v>-895000</v>
      </c>
      <c r="E13">
        <v>-895000</v>
      </c>
    </row>
    <row r="14">
      <c r="A14" t="str">
        <v>Jan 2026</v>
      </c>
      <c r="B14">
        <v>96400</v>
      </c>
      <c r="C14">
        <v>505000</v>
      </c>
      <c r="D14">
        <v>-408600</v>
      </c>
      <c r="E14">
        <v>-1303600</v>
      </c>
    </row>
    <row r="15">
      <c r="A15" t="str">
        <v>Feb 2026</v>
      </c>
      <c r="B15">
        <v>147200</v>
      </c>
      <c r="C15">
        <v>527000</v>
      </c>
      <c r="D15">
        <v>-379800</v>
      </c>
      <c r="E15">
        <v>-1683400</v>
      </c>
    </row>
    <row r="16">
      <c r="A16" t="str">
        <v>Mar 2026</v>
      </c>
      <c r="B16">
        <v>226200</v>
      </c>
      <c r="C16">
        <v>530000</v>
      </c>
      <c r="D16">
        <v>-303800</v>
      </c>
      <c r="E16">
        <v>-1987200</v>
      </c>
    </row>
    <row r="17">
      <c r="A17" t="str">
        <v>TOTAL</v>
      </c>
      <c r="B17">
        <f>SUM(B13:B16)</f>
      </c>
      <c r="C17">
        <f>SUM(C13:C16)</f>
      </c>
      <c r="D17">
        <f>SUM(D13:D16)</f>
      </c>
      <c r="E17">
        <f>E16</f>
      </c>
    </row>
    <row r="18">
      <c r="A18" t="str">
        <v/>
      </c>
    </row>
    <row r="19">
      <c r="A19" t="str">
        <v>EXPENDITURE BREAKDOWN</v>
      </c>
    </row>
    <row r="20">
      <c r="A20" t="str">
        <v>Category</v>
      </c>
      <c r="B20" t="str">
        <v>Amount (R)</v>
      </c>
      <c r="C20" t="str">
        <v>% of Total</v>
      </c>
    </row>
    <row r="21">
      <c r="A21" t="str">
        <v>Existing Operations</v>
      </c>
      <c r="B21">
        <v>1400000</v>
      </c>
      <c r="C21">
        <f>B21/B6</f>
      </c>
    </row>
    <row r="22">
      <c r="A22" t="str">
        <v>Wellness Centre Setup</v>
      </c>
      <c r="B22">
        <v>675000</v>
      </c>
      <c r="C22">
        <f>B22/B6</f>
      </c>
    </row>
    <row r="23">
      <c r="A23" t="str">
        <v>Diversification</v>
      </c>
      <c r="B23">
        <v>180000</v>
      </c>
      <c r="C23">
        <f>B23/B6</f>
      </c>
    </row>
    <row r="24">
      <c r="A24" t="str">
        <v>Turnaround Project</v>
      </c>
      <c r="B24">
        <v>85000</v>
      </c>
      <c r="C24">
        <f>B24/B6</f>
      </c>
    </row>
    <row r="25">
      <c r="A25" t="str">
        <v>Contingency</v>
      </c>
      <c r="B25">
        <v>117000</v>
      </c>
      <c r="C25">
        <f>B25/B6</f>
      </c>
    </row>
    <row r="26">
      <c r="A26" t="str">
        <v>TOTAL</v>
      </c>
      <c r="B26">
        <f>SUM(B21:B25)</f>
      </c>
      <c r="C26">
        <f>SUM(C21:C25)</f>
      </c>
    </row>
    <row r="27">
      <c r="A27" t="str">
        <v/>
      </c>
    </row>
    <row r="28">
      <c r="A28" t="str">
        <v>REVENUE BY PROJECT</v>
      </c>
    </row>
    <row r="29">
      <c r="A29" t="str">
        <v>Project</v>
      </c>
      <c r="B29" t="str">
        <v>Total Revenue</v>
      </c>
      <c r="C29" t="str">
        <v>Monthly Avg</v>
      </c>
    </row>
    <row r="30">
      <c r="A30" t="str">
        <v>Diversification</v>
      </c>
      <c r="B30">
        <v>183600</v>
      </c>
      <c r="C30">
        <f>B30/4</f>
      </c>
    </row>
    <row r="31">
      <c r="A31" t="str">
        <v>Wellness Centre</v>
      </c>
      <c r="B31">
        <v>262400</v>
      </c>
      <c r="C31">
        <f>B31/4</f>
      </c>
    </row>
    <row r="32">
      <c r="A32" t="str">
        <v>Turnaround (Cost Avoidance)</v>
      </c>
      <c r="B32">
        <v>245000</v>
      </c>
      <c r="C32">
        <f>B32/4</f>
      </c>
    </row>
    <row r="33">
      <c r="A33" t="str">
        <v>TOTAL</v>
      </c>
      <c r="B33">
        <f>SUM(B30:B32)</f>
      </c>
      <c r="C33">
        <f>SUM(C30:C32)</f>
      </c>
    </row>
    <row r="34">
      <c r="A34" t="str">
        <v/>
      </c>
    </row>
    <row r="35">
      <c r="A35" t="str">
        <v>EXISTING OPERATIONS DETAIL</v>
      </c>
    </row>
    <row r="36">
      <c r="A36" t="str">
        <v>Category</v>
      </c>
      <c r="B36" t="str">
        <v>Monthly</v>
      </c>
      <c r="C36" t="str">
        <v>4-Month Total</v>
      </c>
    </row>
    <row r="37">
      <c r="A37" t="str">
        <v>Staff Salaries</v>
      </c>
      <c r="B37">
        <v>180000</v>
      </c>
      <c r="C37">
        <f>B37*4</f>
      </c>
    </row>
    <row r="38">
      <c r="A38" t="str">
        <v>Facility Rent</v>
      </c>
      <c r="B38">
        <v>35000</v>
      </c>
      <c r="C38">
        <f>B38*4</f>
      </c>
    </row>
    <row r="39">
      <c r="A39" t="str">
        <v>Utilities</v>
      </c>
      <c r="B39">
        <v>25000</v>
      </c>
      <c r="C39">
        <f>B39*4</f>
      </c>
    </row>
    <row r="40">
      <c r="A40" t="str">
        <v>Insurance</v>
      </c>
      <c r="B40">
        <v>15000</v>
      </c>
      <c r="C40">
        <f>B40*4</f>
      </c>
    </row>
    <row r="41">
      <c r="A41" t="str">
        <v>Security &amp; Cleaning</v>
      </c>
      <c r="B41">
        <v>12000</v>
      </c>
      <c r="C41">
        <f>B41*4</f>
      </c>
    </row>
    <row r="42">
      <c r="A42" t="str">
        <v>IT &amp; Telecom</v>
      </c>
      <c r="B42">
        <v>8000</v>
      </c>
      <c r="C42">
        <f>B42*4</f>
      </c>
    </row>
    <row r="43">
      <c r="A43" t="str">
        <v>Compliance &amp; Licensing</v>
      </c>
      <c r="B43">
        <v>15000</v>
      </c>
      <c r="C43">
        <f>B43*4</f>
      </c>
    </row>
    <row r="44">
      <c r="A44" t="str">
        <v>Medical Supplies</v>
      </c>
      <c r="B44">
        <v>20000</v>
      </c>
      <c r="C44">
        <f>B44*4</f>
      </c>
    </row>
    <row r="45">
      <c r="A45" t="str">
        <v>Food &amp; Catering</v>
      </c>
      <c r="B45">
        <v>18000</v>
      </c>
      <c r="C45">
        <f>B45*4</f>
      </c>
    </row>
    <row r="46">
      <c r="A46" t="str">
        <v>Maintenance</v>
      </c>
      <c r="B46">
        <v>10000</v>
      </c>
      <c r="C46">
        <f>B46*4</f>
      </c>
    </row>
    <row r="47">
      <c r="A47" t="str">
        <v>Office Supplies</v>
      </c>
      <c r="B47">
        <v>5000</v>
      </c>
      <c r="C47">
        <f>B47*4</f>
      </c>
    </row>
    <row r="48">
      <c r="A48" t="str">
        <v>Transport</v>
      </c>
      <c r="B48">
        <v>4000</v>
      </c>
      <c r="C48">
        <f>B48*4</f>
      </c>
    </row>
    <row r="49">
      <c r="A49" t="str">
        <v>Bank Fees</v>
      </c>
      <c r="B49">
        <v>3000</v>
      </c>
      <c r="C49">
        <f>B49*4</f>
      </c>
    </row>
    <row r="50">
      <c r="A50" t="str">
        <v>TOTAL</v>
      </c>
      <c r="B50">
        <f>SUM(B37:B49)</f>
      </c>
      <c r="C50">
        <f>SUM(C37:C49)</f>
      </c>
    </row>
    <row r="51">
      <c r="A51" t="str">
        <v/>
      </c>
    </row>
    <row r="52">
      <c r="A52" t="str">
        <v>WELLNESS CENTRE COSTS</v>
      </c>
    </row>
    <row r="53">
      <c r="A53" t="str">
        <v>Category</v>
      </c>
      <c r="B53" t="str">
        <v>Dec 2025</v>
      </c>
      <c r="C53" t="str">
        <v>Jan 2026</v>
      </c>
      <c r="D53" t="str">
        <v>Feb 2026</v>
      </c>
      <c r="E53" t="str">
        <v>Mar 2026</v>
      </c>
      <c r="F53">
        <f>SUM(B53:E53)</f>
      </c>
    </row>
    <row r="54">
      <c r="A54" t="str">
        <v>Facility Lease Deposit</v>
      </c>
      <c r="B54">
        <v>150000</v>
      </c>
      <c r="C54">
        <v>0</v>
      </c>
      <c r="D54">
        <v>0</v>
      </c>
      <c r="E54">
        <v>0</v>
      </c>
      <c r="F54">
        <f>SUM(B54:E54)</f>
      </c>
    </row>
    <row r="55">
      <c r="A55" t="str">
        <v>Renovations &amp; Fit-Out</v>
      </c>
      <c r="B55">
        <v>180000</v>
      </c>
      <c r="C55">
        <v>0</v>
      </c>
      <c r="D55">
        <v>0</v>
      </c>
      <c r="E55">
        <v>0</v>
      </c>
      <c r="F55">
        <f>SUM(B55:E55)</f>
      </c>
    </row>
    <row r="56">
      <c r="A56" t="str">
        <v>Furniture &amp; Equipment</v>
      </c>
      <c r="B56">
        <v>80000</v>
      </c>
      <c r="C56">
        <v>0</v>
      </c>
      <c r="D56">
        <v>0</v>
      </c>
      <c r="E56">
        <v>0</v>
      </c>
      <c r="F56">
        <f>SUM(B56:E56)</f>
      </c>
    </row>
    <row r="57">
      <c r="A57" t="str">
        <v>IT Infrastructure</v>
      </c>
      <c r="B57">
        <v>35000</v>
      </c>
      <c r="C57">
        <v>0</v>
      </c>
      <c r="D57">
        <v>0</v>
      </c>
      <c r="E57">
        <v>0</v>
      </c>
      <c r="F57">
        <f>SUM(B57:E57)</f>
      </c>
    </row>
    <row r="58">
      <c r="A58" t="str">
        <v>Marketing Launch</v>
      </c>
      <c r="B58">
        <v>25000</v>
      </c>
      <c r="C58">
        <v>12000</v>
      </c>
      <c r="D58">
        <v>10000</v>
      </c>
      <c r="E58">
        <v>15000</v>
      </c>
      <c r="F58">
        <f>SUM(B58:E58)</f>
      </c>
    </row>
    <row r="59">
      <c r="A59" t="str">
        <v>Legal &amp; Setup</v>
      </c>
      <c r="B59">
        <v>15000</v>
      </c>
      <c r="C59">
        <v>0</v>
      </c>
      <c r="D59">
        <v>0</v>
      </c>
      <c r="E59">
        <v>0</v>
      </c>
      <c r="F59">
        <f>SUM(B59:E59)</f>
      </c>
    </row>
    <row r="60">
      <c r="A60" t="str">
        <v>Recruitment</v>
      </c>
      <c r="B60">
        <v>10000</v>
      </c>
      <c r="C60">
        <v>0</v>
      </c>
      <c r="D60">
        <v>0</v>
      </c>
      <c r="E60">
        <v>0</v>
      </c>
      <c r="F60">
        <f>SUM(B60:E60)</f>
      </c>
    </row>
    <row r="61">
      <c r="A61" t="str">
        <v>Facility Rent</v>
      </c>
      <c r="B61">
        <v>0</v>
      </c>
      <c r="C61">
        <v>50000</v>
      </c>
      <c r="D61">
        <v>50000</v>
      </c>
      <c r="E61">
        <v>50000</v>
      </c>
      <c r="F61">
        <f>SUM(B61:E61)</f>
      </c>
    </row>
    <row r="62">
      <c r="A62" t="str">
        <v>Staff Salaries</v>
      </c>
      <c r="B62">
        <v>0</v>
      </c>
      <c r="C62">
        <v>75000</v>
      </c>
      <c r="D62">
        <v>100000</v>
      </c>
      <c r="E62">
        <v>125000</v>
      </c>
      <c r="F62">
        <f>SUM(B62:E62)</f>
      </c>
    </row>
    <row r="63">
      <c r="A63" t="str">
        <v>Utilities &amp; Operations</v>
      </c>
      <c r="B63">
        <v>0</v>
      </c>
      <c r="C63">
        <v>15000</v>
      </c>
      <c r="D63">
        <v>18000</v>
      </c>
      <c r="E63">
        <v>20000</v>
      </c>
      <c r="F63">
        <f>SUM(B63:E63)</f>
      </c>
    </row>
    <row r="64">
      <c r="A64" t="str">
        <v>Supplies &amp; Materials</v>
      </c>
      <c r="B64">
        <v>0</v>
      </c>
      <c r="C64">
        <v>8000</v>
      </c>
      <c r="D64">
        <v>10000</v>
      </c>
      <c r="E64">
        <v>12000</v>
      </c>
      <c r="F64">
        <f>SUM(B64:E64)</f>
      </c>
    </row>
    <row r="65">
      <c r="A65" t="str">
        <v>Admin &amp; Support</v>
      </c>
      <c r="B65">
        <v>0</v>
      </c>
      <c r="C65">
        <v>10000</v>
      </c>
      <c r="D65">
        <v>12000</v>
      </c>
      <c r="E65">
        <v>15000</v>
      </c>
      <c r="F65">
        <f>SUM(B65:E65)</f>
      </c>
    </row>
    <row r="66">
      <c r="A66" t="str">
        <v>Technology</v>
      </c>
      <c r="B66">
        <f>SUM(B53:B65)</f>
      </c>
      <c r="C66">
        <f>SUM(C53:C65)</f>
      </c>
      <c r="D66">
        <f>SUM(D53:D65)</f>
      </c>
      <c r="E66">
        <f>SUM(E53:E65)</f>
      </c>
      <c r="F66">
        <f>SUM(F53:F65)</f>
      </c>
    </row>
    <row r="67">
      <c r="A67" t="str">
        <v>TOTAL</v>
      </c>
      <c r="B67">
        <v>0</v>
      </c>
      <c r="C67">
        <v>0</v>
      </c>
      <c r="D67">
        <v>0</v>
      </c>
      <c r="E67">
        <v>0</v>
      </c>
      <c r="F67">
        <v>0</v>
      </c>
    </row>
    <row r="68">
      <c r="A68" t="str">
        <v/>
      </c>
    </row>
    <row r="69">
      <c r="A69" t="str">
        <v>DIVERSIFICATION COSTS</v>
      </c>
      <c r="E69">
        <f>B69+D69</f>
      </c>
    </row>
    <row r="70">
      <c r="A70" t="str">
        <v>Category</v>
      </c>
      <c r="B70" t="str">
        <v>Dec 2025</v>
      </c>
      <c r="C70" t="str">
        <v>Jan-Mar (Monthly)</v>
      </c>
      <c r="D70" t="str">
        <v>3-Month Total</v>
      </c>
      <c r="E70">
        <f>B70+D70</f>
      </c>
    </row>
    <row r="71">
      <c r="A71" t="str">
        <v>Staff Training</v>
      </c>
      <c r="B71">
        <v>25000</v>
      </c>
      <c r="C71">
        <v>0</v>
      </c>
      <c r="D71">
        <f>C71*3</f>
      </c>
      <c r="E71">
        <f>B71+D71</f>
      </c>
    </row>
    <row r="72">
      <c r="A72" t="str">
        <v>Program Development</v>
      </c>
      <c r="B72">
        <v>15000</v>
      </c>
      <c r="C72">
        <v>0</v>
      </c>
      <c r="D72">
        <v>0</v>
      </c>
      <c r="E72">
        <f>B72+D72</f>
      </c>
    </row>
    <row r="73">
      <c r="A73" t="str">
        <v>Marketing</v>
      </c>
      <c r="B73">
        <v>10000</v>
      </c>
      <c r="C73">
        <v>8000</v>
      </c>
      <c r="D73">
        <v>0</v>
      </c>
      <c r="E73">
        <f>B73+D73</f>
      </c>
    </row>
    <row r="74">
      <c r="A74" t="str">
        <v>Legal &amp; Compliance</v>
      </c>
      <c r="B74">
        <v>8000</v>
      </c>
      <c r="C74">
        <v>0</v>
      </c>
      <c r="D74">
        <f>C74*3</f>
      </c>
      <c r="E74">
        <f>B74+D74</f>
      </c>
    </row>
    <row r="75">
      <c r="A75" t="str">
        <v>Equipment</v>
      </c>
      <c r="B75">
        <v>12000</v>
      </c>
      <c r="C75">
        <v>0</v>
      </c>
      <c r="D75">
        <f>C75*3</f>
      </c>
      <c r="E75">
        <f>B75+D75</f>
      </c>
    </row>
    <row r="76">
      <c r="A76" t="str">
        <v>Clinical Staff (Part-time)</v>
      </c>
      <c r="B76">
        <v>0</v>
      </c>
      <c r="C76">
        <v>15000</v>
      </c>
      <c r="D76">
        <f>C76*3</f>
      </c>
      <c r="E76">
        <f>B76+D76</f>
      </c>
    </row>
    <row r="77">
      <c r="A77" t="str">
        <v>Program Materials</v>
      </c>
      <c r="B77">
        <v>0</v>
      </c>
      <c r="C77">
        <v>5000</v>
      </c>
      <c r="D77">
        <f>C77*3</f>
      </c>
      <c r="E77">
        <f>B77+D77</f>
      </c>
    </row>
    <row r="78">
      <c r="A78" t="str">
        <v>Data Tracking</v>
      </c>
      <c r="B78">
        <v>0</v>
      </c>
      <c r="C78">
        <v>2000</v>
      </c>
      <c r="D78">
        <f>C78*3</f>
      </c>
      <c r="E78">
        <f>B78+D78</f>
      </c>
    </row>
    <row r="79">
      <c r="A79" t="str">
        <v>Quality Assurance</v>
      </c>
      <c r="B79">
        <f>SUM(B69:B78)</f>
      </c>
      <c r="C79">
        <f>SUM(C69:C78)</f>
      </c>
      <c r="D79">
        <f>SUM(D69:D78)</f>
      </c>
      <c r="E79">
        <f>SUM(E69:E78)</f>
      </c>
    </row>
    <row r="80">
      <c r="A80" t="str">
        <v>Training &amp; Development</v>
      </c>
      <c r="B80">
        <v>0</v>
      </c>
      <c r="C80">
        <v>4000</v>
      </c>
      <c r="D80">
        <v>0</v>
      </c>
      <c r="E80">
        <v>0</v>
      </c>
    </row>
    <row r="81">
      <c r="A81" t="str">
        <v>TOTAL</v>
      </c>
      <c r="B81">
        <v>0</v>
      </c>
      <c r="C81">
        <v>0</v>
      </c>
      <c r="D81">
        <v>0</v>
      </c>
      <c r="E81">
        <v>0</v>
      </c>
    </row>
    <row r="82">
      <c r="A82" t="str">
        <v/>
      </c>
    </row>
    <row r="83">
      <c r="A83" t="str">
        <v>TURNAROUND PROJECT COSTS</v>
      </c>
    </row>
    <row r="84">
      <c r="A84" t="str">
        <v>Phase</v>
      </c>
      <c r="B84">
        <f>SUM(B82:B83)</f>
      </c>
      <c r="C84" t="str">
        <v>Notes</v>
      </c>
    </row>
    <row r="85">
      <c r="A85" t="str">
        <v>Phase 1: Crisis Response (Dec)</v>
      </c>
      <c r="B85">
        <v>60000</v>
      </c>
      <c r="C85" t="str">
        <v>SARS, audit, cash forecast, AR blitz, legal</v>
      </c>
    </row>
    <row r="86">
      <c r="A86" t="str">
        <v>Phase 2: Stabilization (Jan-Mar)</v>
      </c>
      <c r="B86">
        <v>25000</v>
      </c>
      <c r="C86" t="str">
        <v>KPI dashboard, billing, monitoring</v>
      </c>
    </row>
    <row r="87">
      <c r="A87" t="str">
        <v>TOTAL</v>
      </c>
      <c r="B87">
        <v>0</v>
      </c>
      <c r="C87" t="str">
        <v/>
      </c>
    </row>
    <row r="88">
      <c r="A88" t="str">
        <v/>
      </c>
    </row>
    <row r="89">
      <c r="A89" t="str">
        <v>KEY PERFORMANCE INDICATORS</v>
      </c>
    </row>
    <row r="90">
      <c r="A90" t="str">
        <v>Metric</v>
      </c>
      <c r="B90" t="str">
        <v>Target</v>
      </c>
      <c r="C90" t="str">
        <v>Measurement</v>
      </c>
    </row>
    <row r="91">
      <c r="A91" t="str">
        <v>Monthly Operating Margin</v>
      </c>
      <c r="B91" t="str">
        <v>-45% → -15%</v>
      </c>
      <c r="C91" t="str">
        <v>Improving trend</v>
      </c>
    </row>
    <row r="92">
      <c r="A92" t="str">
        <v>Days Sales Outstanding (DSO)</v>
      </c>
      <c r="B92" t="str">
        <v>≤30 days</v>
      </c>
      <c r="C92" t="str">
        <v>Cash collection</v>
      </c>
    </row>
    <row r="93">
      <c r="A93" t="str">
        <v>Cost per Patient/Client</v>
      </c>
      <c r="B93" t="str">
        <v>Decrease 20%</v>
      </c>
      <c r="C93" t="str">
        <v>Efficiency</v>
      </c>
    </row>
    <row r="94">
      <c r="A94" t="str">
        <v>Revenue per Staff Hour</v>
      </c>
      <c r="B94" t="str">
        <v>Increase 25%</v>
      </c>
      <c r="C94" t="str">
        <v>Productivity</v>
      </c>
    </row>
    <row r="95">
      <c r="A95" t="str">
        <v>Cash Runway</v>
      </c>
      <c r="B95" t="str">
        <v>Maintain 6+ months</v>
      </c>
      <c r="C95" t="str">
        <v>Survival buffer</v>
      </c>
    </row>
    <row r="96">
      <c r="A96" t="str">
        <v>SARS Payment Plan</v>
      </c>
      <c r="B96" t="str">
        <v>Signed</v>
      </c>
      <c r="C96" t="str">
        <v>Dec 2025</v>
      </c>
    </row>
    <row r="97">
      <c r="A97" t="str">
        <v>Maintenance Cost Reduction</v>
      </c>
      <c r="B97" t="str">
        <v>-65%</v>
      </c>
      <c r="C97" t="str">
        <v>R84k → R30k/month</v>
      </c>
    </row>
    <row r="98">
      <c r="A98" t="str">
        <v>AR Collections</v>
      </c>
      <c r="B98" t="str">
        <v>50% of R956k</v>
      </c>
      <c r="C98">
        <f>B98/$B$102</f>
      </c>
    </row>
    <row r="99">
      <c r="A99" t="str">
        <v/>
      </c>
      <c r="C99">
        <f>B99/$B$102</f>
      </c>
    </row>
    <row r="100">
      <c r="A100" t="str">
        <v>FUNDING SOURCES</v>
      </c>
      <c r="C100">
        <f>B100/$B$102</f>
      </c>
    </row>
    <row r="101">
      <c r="A101" t="str">
        <v>Source</v>
      </c>
      <c r="B101" t="str">
        <v>Amount (R)</v>
      </c>
      <c r="C101">
        <f>B101/$B$102</f>
      </c>
    </row>
    <row r="102">
      <c r="A102" t="str">
        <v>Investment Reserve Draw-down</v>
      </c>
      <c r="B102">
        <f>SUM(B98:B101)</f>
      </c>
      <c r="C102">
        <f>SUM(C98:C101)</f>
      </c>
    </row>
    <row r="103">
      <c r="A103" t="str">
        <v>Working Capital Facility</v>
      </c>
      <c r="B103">
        <v>350000</v>
      </c>
      <c r="C103">
        <v>0</v>
      </c>
    </row>
    <row r="104">
      <c r="A104" t="str">
        <v>Grant Funding (Lotto - Capex)</v>
      </c>
      <c r="B104">
        <v>200000</v>
      </c>
      <c r="C104">
        <v>0</v>
      </c>
    </row>
    <row r="105">
      <c r="A105" t="str">
        <v>Operational Cash Flow</v>
      </c>
      <c r="B105">
        <v>37200</v>
      </c>
      <c r="C105">
        <v>0</v>
      </c>
    </row>
    <row r="106">
      <c r="A106" t="str">
        <v>TOTAL FUNDING</v>
      </c>
      <c r="B106">
        <v>0</v>
      </c>
      <c r="C106">
        <v>0</v>
      </c>
    </row>
    <row r="107">
      <c r="A107" t="str">
        <v/>
      </c>
    </row>
    <row r="108">
      <c r="A108" t="str">
        <v>CRITICAL SUCCESS FACTORS</v>
      </c>
    </row>
    <row r="109">
      <c r="A109" t="str">
        <v>Factor</v>
      </c>
      <c r="B109" t="str">
        <v>Status</v>
      </c>
      <c r="C109" t="str">
        <v>Priority</v>
      </c>
    </row>
    <row r="110">
      <c r="A110" t="str">
        <v>SARS Payment Plan Signed</v>
      </c>
      <c r="B110" t="str">
        <v>PENDING</v>
      </c>
      <c r="C110" t="str">
        <v>CRITICAL</v>
      </c>
    </row>
    <row r="111">
      <c r="A111" t="str">
        <v>Wellness Centre Launch Jan 2026</v>
      </c>
      <c r="B111" t="str">
        <v>ON TRACK</v>
      </c>
      <c r="C111" t="str">
        <v>HIGH</v>
      </c>
    </row>
    <row r="112">
      <c r="A112" t="str">
        <v>Reserve Protection (&gt;R2M)</v>
      </c>
      <c r="B112" t="str">
        <v>AT RISK</v>
      </c>
      <c r="C112" t="str">
        <v>HIGH</v>
      </c>
    </row>
    <row r="113">
      <c r="A113" t="str">
        <v>Staff Retention</v>
      </c>
      <c r="B113" t="str">
        <v>MONITORING</v>
      </c>
      <c r="C113" t="str">
        <v>HIGH</v>
      </c>
    </row>
    <row r="114">
      <c r="A114" t="str">
        <v>Turnaround 75% Complete</v>
      </c>
      <c r="B114" t="str">
        <v>PENDING</v>
      </c>
      <c r="C114" t="str">
        <v>MEDIUM</v>
      </c>
    </row>
  </sheetData>
  <ignoredErrors>
    <ignoredError numberStoredAsText="1" sqref="A1:F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9"/>
  <sheetViews>
    <sheetView workbookViewId="0" rightToLeft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BUDGET: APRIL 2026 - MARCH 2027</v>
      </c>
    </row>
    <row r="2">
      <c r="A2" t="str">
        <v>12-Month Period: Growth &amp; Profitability Year</v>
      </c>
    </row>
    <row r="3">
      <c r="A3" t="str">
        <v/>
      </c>
    </row>
    <row r="4">
      <c r="A4" t="str">
        <v>EXECUTIVE SUMMARY</v>
      </c>
    </row>
    <row r="5">
      <c r="A5" t="str">
        <v>Item</v>
      </c>
      <c r="B5" t="str">
        <v>Amount (R)</v>
      </c>
    </row>
    <row r="6">
      <c r="A6" t="str">
        <v>Total Operating Budget</v>
      </c>
      <c r="B6">
        <v>7350000</v>
      </c>
    </row>
    <row r="7">
      <c r="A7" t="str">
        <v>Expected Revenue</v>
      </c>
      <c r="B7">
        <v>8430075</v>
      </c>
    </row>
    <row r="8">
      <c r="A8" t="str">
        <v>Net Operating Surplus</v>
      </c>
      <c r="B8">
        <v>1080075</v>
      </c>
    </row>
    <row r="9">
      <c r="A9" t="str">
        <v>Operating Margin</v>
      </c>
      <c r="B9" t="str">
        <v>6.6%</v>
      </c>
    </row>
    <row r="10">
      <c r="A10" t="str">
        <v/>
      </c>
    </row>
    <row r="11">
      <c r="A11" t="str">
        <v>QUARTERLY SUMMARY</v>
      </c>
    </row>
    <row r="12">
      <c r="A12" t="str">
        <v>Quarter</v>
      </c>
      <c r="B12" t="str">
        <v>Revenue</v>
      </c>
      <c r="C12" t="str">
        <v>Expenses</v>
      </c>
      <c r="D12" t="str">
        <v>Net</v>
      </c>
      <c r="E12" t="str">
        <v>Cumulative</v>
      </c>
    </row>
    <row r="13">
      <c r="A13" t="str">
        <v>Q2 2026 (Apr-Jun)</v>
      </c>
      <c r="B13">
        <v>1124350</v>
      </c>
      <c r="C13">
        <v>1969000</v>
      </c>
      <c r="D13">
        <v>-844650</v>
      </c>
      <c r="E13">
        <v>-2831500</v>
      </c>
    </row>
    <row r="14">
      <c r="A14" t="str">
        <v>Q3 2026 (Jul-Sep)</v>
      </c>
      <c r="B14">
        <v>1698925</v>
      </c>
      <c r="C14">
        <v>2130000</v>
      </c>
      <c r="D14">
        <v>-431075</v>
      </c>
      <c r="E14">
        <v>-3262575</v>
      </c>
    </row>
    <row r="15">
      <c r="A15" t="str">
        <v>Q4 2026 (Oct-Dec)</v>
      </c>
      <c r="B15">
        <v>2406750</v>
      </c>
      <c r="C15">
        <v>2289000</v>
      </c>
      <c r="D15">
        <v>117750</v>
      </c>
      <c r="E15">
        <v>-3144825</v>
      </c>
    </row>
    <row r="16">
      <c r="A16" t="str">
        <v>Q1 2027 (Jan-Mar)</v>
      </c>
      <c r="B16">
        <v>2762400</v>
      </c>
      <c r="C16">
        <v>2607000</v>
      </c>
      <c r="D16">
        <v>155400</v>
      </c>
      <c r="E16">
        <v>-2989425</v>
      </c>
    </row>
    <row r="17">
      <c r="A17" t="str">
        <v>TOTAL FY</v>
      </c>
      <c r="B17">
        <f>SUM(B13:B16)</f>
      </c>
      <c r="C17">
        <f>SUM(C13:C16)</f>
      </c>
      <c r="D17">
        <f>SUM(D13:D16)</f>
      </c>
      <c r="E17">
        <f>E16</f>
      </c>
    </row>
    <row r="18">
      <c r="A18" t="str">
        <v/>
      </c>
    </row>
    <row r="19">
      <c r="A19" t="str">
        <v>MONTHLY REVENUE DETAIL</v>
      </c>
    </row>
    <row r="20">
      <c r="A20" t="str">
        <v>Month</v>
      </c>
      <c r="B20" t="str">
        <v>Diversification</v>
      </c>
      <c r="C20" t="str">
        <v>Wellness</v>
      </c>
      <c r="D20" t="str">
        <v>Total</v>
      </c>
    </row>
    <row r="21">
      <c r="A21" t="str">
        <v>Apr 2026</v>
      </c>
      <c r="B21">
        <v>61200</v>
      </c>
      <c r="C21">
        <v>202200</v>
      </c>
      <c r="D21">
        <f>B21+C21</f>
      </c>
    </row>
    <row r="22">
      <c r="A22" t="str">
        <v>May 2026</v>
      </c>
      <c r="B22">
        <v>140775</v>
      </c>
      <c r="C22">
        <v>266600</v>
      </c>
      <c r="D22">
        <f>B22+C22</f>
      </c>
    </row>
    <row r="23">
      <c r="A23" t="str">
        <v>Jun 2026</v>
      </c>
      <c r="B23">
        <v>140775</v>
      </c>
      <c r="C23">
        <v>312800</v>
      </c>
      <c r="D23">
        <f>B23+C23</f>
      </c>
    </row>
    <row r="24">
      <c r="A24" t="str">
        <v>Jul 2026</v>
      </c>
      <c r="B24">
        <v>140775</v>
      </c>
      <c r="C24">
        <v>378000</v>
      </c>
      <c r="D24">
        <f>B24+C24</f>
      </c>
    </row>
    <row r="25">
      <c r="A25" t="str">
        <v>Aug 2026</v>
      </c>
      <c r="B25">
        <v>140775</v>
      </c>
      <c r="C25">
        <v>423200</v>
      </c>
      <c r="D25">
        <f>B25+C25</f>
      </c>
    </row>
    <row r="26">
      <c r="A26" t="str">
        <v>Sep 2026</v>
      </c>
      <c r="B26">
        <v>140775</v>
      </c>
      <c r="C26">
        <v>475400</v>
      </c>
      <c r="D26">
        <f>B26+C26</f>
      </c>
    </row>
    <row r="27">
      <c r="A27" t="str">
        <v>Oct 2026</v>
      </c>
      <c r="B27">
        <v>140775</v>
      </c>
      <c r="C27">
        <v>509600</v>
      </c>
      <c r="D27">
        <f>B27+C27</f>
      </c>
    </row>
    <row r="28">
      <c r="A28" t="str">
        <v>Nov 2026</v>
      </c>
      <c r="B28">
        <v>140775</v>
      </c>
      <c r="C28">
        <v>541400</v>
      </c>
      <c r="D28">
        <f>B28+C28</f>
      </c>
    </row>
    <row r="29">
      <c r="A29" t="str">
        <v>Dec 2026</v>
      </c>
      <c r="B29">
        <v>500200</v>
      </c>
      <c r="C29">
        <v>574000</v>
      </c>
      <c r="D29">
        <f>B29+C29</f>
      </c>
    </row>
    <row r="30">
      <c r="A30" t="str">
        <v>Jan 2027</v>
      </c>
      <c r="B30">
        <v>500200</v>
      </c>
      <c r="C30">
        <v>580200</v>
      </c>
      <c r="D30">
        <f>B30+C30</f>
      </c>
    </row>
    <row r="31">
      <c r="A31" t="str">
        <v>Feb 2027</v>
      </c>
      <c r="B31">
        <v>256300</v>
      </c>
      <c r="C31">
        <v>583200</v>
      </c>
      <c r="D31">
        <f>B31+C31</f>
      </c>
    </row>
    <row r="32">
      <c r="A32" t="str">
        <v>Mar 2027</v>
      </c>
      <c r="B32">
        <v>256300</v>
      </c>
      <c r="C32">
        <v>586200</v>
      </c>
      <c r="D32">
        <f>B32+C32</f>
      </c>
    </row>
    <row r="33">
      <c r="A33" t="str">
        <v>TOTAL</v>
      </c>
      <c r="B33">
        <f>SUM(B21:B32)</f>
      </c>
      <c r="C33">
        <f>SUM(C21:C32)</f>
      </c>
      <c r="D33">
        <f>SUM(D21:D32)</f>
      </c>
    </row>
    <row r="34">
      <c r="A34" t="str">
        <v/>
      </c>
    </row>
    <row r="35">
      <c r="A35" t="str">
        <v>EXPENDITURE BY CATEGORY</v>
      </c>
    </row>
    <row r="36">
      <c r="A36" t="str">
        <v>Category</v>
      </c>
      <c r="B36" t="str">
        <v>Annual Amount</v>
      </c>
      <c r="C36" t="str">
        <v>% of Total</v>
      </c>
      <c r="D36" t="str">
        <v>Monthly Avg</v>
      </c>
    </row>
    <row r="37">
      <c r="A37" t="str">
        <v>Existing Operations</v>
      </c>
      <c r="B37">
        <v>3360000</v>
      </c>
      <c r="C37">
        <f>B37/$B$42</f>
      </c>
      <c r="D37">
        <f>B37/12</f>
      </c>
    </row>
    <row r="38">
      <c r="A38" t="str">
        <v>Wellness Centre</v>
      </c>
      <c r="B38">
        <v>2730000</v>
      </c>
      <c r="C38">
        <f>B38/$B$42</f>
      </c>
      <c r="D38">
        <f>B38/12</f>
      </c>
    </row>
    <row r="39">
      <c r="A39" t="str">
        <v>Diversification</v>
      </c>
      <c r="B39">
        <v>1260000</v>
      </c>
      <c r="C39">
        <f>B39/$B$42</f>
      </c>
      <c r="D39">
        <f>B39/12</f>
      </c>
    </row>
    <row r="40">
      <c r="A40" t="str">
        <v>Corporate &amp; Overhead</v>
      </c>
      <c r="B40">
        <v>470000</v>
      </c>
      <c r="C40">
        <f>B40/$B$42</f>
      </c>
      <c r="D40">
        <f>B40/12</f>
      </c>
    </row>
    <row r="41">
      <c r="A41" t="str">
        <v>Turnaround Maintenance</v>
      </c>
      <c r="B41">
        <v>60000</v>
      </c>
      <c r="C41">
        <f>B41/$B$42</f>
      </c>
      <c r="D41">
        <f>B41/12</f>
      </c>
    </row>
    <row r="42">
      <c r="A42" t="str">
        <v>TOTAL OPERATING</v>
      </c>
      <c r="B42">
        <f>SUM(B37:B41)</f>
      </c>
      <c r="C42">
        <f>SUM(C37:C41)</f>
      </c>
      <c r="D42">
        <f>SUM(D37:D41)</f>
      </c>
    </row>
    <row r="43">
      <c r="A43" t="str">
        <v/>
      </c>
    </row>
    <row r="44">
      <c r="A44" t="str">
        <v>CAPITAL EXPENDITURE (CAPEX)</v>
      </c>
    </row>
    <row r="45">
      <c r="A45" t="str">
        <v>Quarter</v>
      </c>
      <c r="B45" t="str">
        <v>Amount (R)</v>
      </c>
      <c r="C45" t="str">
        <v>Key Items</v>
      </c>
    </row>
    <row r="46">
      <c r="A46" t="str">
        <v>Q2 2026</v>
      </c>
      <c r="B46">
        <v>155000</v>
      </c>
      <c r="C46" t="str">
        <v>IT upgrade, medical equipment, furniture</v>
      </c>
    </row>
    <row r="47">
      <c r="A47" t="str">
        <v>Q3 2026</v>
      </c>
      <c r="B47">
        <v>210000</v>
      </c>
      <c r="C47" t="str">
        <v>Vehicle, facility improvements, digital platform</v>
      </c>
    </row>
    <row r="48">
      <c r="A48" t="str">
        <v>Q4 2026</v>
      </c>
      <c r="B48">
        <v>30000</v>
      </c>
      <c r="C48" t="str">
        <v>Equipment replacement (R262k solar grant-funded)</v>
      </c>
    </row>
    <row r="49">
      <c r="A49" t="str">
        <v>Q1 2027</v>
      </c>
      <c r="B49">
        <f>SUM(B45:B48)</f>
      </c>
      <c r="C49" t="str">
        <v>Technology upgrades, office equipment</v>
      </c>
    </row>
    <row r="50">
      <c r="A50" t="str">
        <v>TOTAL CAPEX</v>
      </c>
      <c r="B50">
        <v>0</v>
      </c>
      <c r="C50" t="str">
        <v/>
      </c>
    </row>
    <row r="51">
      <c r="A51" t="str">
        <v>Less: Grant Funding</v>
      </c>
      <c r="B51">
        <f>B49+B50</f>
      </c>
      <c r="C51" t="str">
        <v>Lotto grant for solar</v>
      </c>
    </row>
    <row r="52">
      <c r="A52" t="str">
        <v>NET CAPEX</v>
      </c>
      <c r="B52">
        <v>0</v>
      </c>
      <c r="C52" t="str">
        <v/>
      </c>
    </row>
    <row r="53">
      <c r="A53" t="str">
        <v/>
      </c>
    </row>
    <row r="54">
      <c r="A54" t="str">
        <v>EXISTING OPERATIONS (POST-TURNAROUND)</v>
      </c>
    </row>
    <row r="55">
      <c r="A55" t="str">
        <v>Category</v>
      </c>
      <c r="B55" t="str">
        <v>Monthly</v>
      </c>
      <c r="C55">
        <f>B55*12</f>
      </c>
    </row>
    <row r="56">
      <c r="A56" t="str">
        <v>Staff Salaries</v>
      </c>
      <c r="B56">
        <v>140000</v>
      </c>
      <c r="C56">
        <f>B56*12</f>
      </c>
    </row>
    <row r="57">
      <c r="A57" t="str">
        <v>Facility Rent</v>
      </c>
      <c r="B57">
        <v>35000</v>
      </c>
      <c r="C57">
        <f>B57*12</f>
      </c>
    </row>
    <row r="58">
      <c r="A58" t="str">
        <v>Utilities</v>
      </c>
      <c r="B58">
        <v>22000</v>
      </c>
      <c r="C58">
        <f>B58*12</f>
      </c>
    </row>
    <row r="59">
      <c r="A59" t="str">
        <v>Insurance</v>
      </c>
      <c r="B59">
        <v>15000</v>
      </c>
      <c r="C59">
        <f>B59*12</f>
      </c>
    </row>
    <row r="60">
      <c r="A60" t="str">
        <v>Security &amp; Cleaning</v>
      </c>
      <c r="B60">
        <v>10000</v>
      </c>
      <c r="C60">
        <f>B60*12</f>
      </c>
    </row>
    <row r="61">
      <c r="A61" t="str">
        <v>IT &amp; Telecom</v>
      </c>
      <c r="B61">
        <v>8000</v>
      </c>
      <c r="C61">
        <f>B61*12</f>
      </c>
    </row>
    <row r="62">
      <c r="A62" t="str">
        <v>Compliance &amp; Licensing</v>
      </c>
      <c r="B62">
        <v>15000</v>
      </c>
      <c r="C62">
        <f>B62*12</f>
      </c>
    </row>
    <row r="63">
      <c r="A63" t="str">
        <v>Medical Supplies</v>
      </c>
      <c r="B63">
        <v>18000</v>
      </c>
      <c r="C63">
        <f>B63*12</f>
      </c>
    </row>
    <row r="64">
      <c r="A64" t="str">
        <v>Food &amp; Catering</v>
      </c>
      <c r="B64">
        <v>15000</v>
      </c>
      <c r="C64">
        <f>B64*12</f>
      </c>
    </row>
    <row r="65">
      <c r="A65" t="str">
        <v>Maintenance (Capped)</v>
      </c>
      <c r="B65">
        <v>10000</v>
      </c>
      <c r="C65">
        <f>B65*12</f>
      </c>
    </row>
    <row r="66">
      <c r="A66" t="str">
        <v>Office Supplies</v>
      </c>
      <c r="B66">
        <v>4000</v>
      </c>
      <c r="C66">
        <f>B66*12</f>
      </c>
    </row>
    <row r="67">
      <c r="A67" t="str">
        <v>Transport</v>
      </c>
      <c r="B67">
        <f>SUM(B55:B66)</f>
      </c>
      <c r="C67">
        <f>SUM(C55:C66)</f>
      </c>
    </row>
    <row r="68">
      <c r="A68" t="str">
        <v>TOTAL</v>
      </c>
      <c r="B68">
        <v>0</v>
      </c>
      <c r="C68">
        <v>0</v>
      </c>
    </row>
    <row r="69">
      <c r="A69" t="str">
        <v/>
      </c>
    </row>
    <row r="70">
      <c r="A70" t="str">
        <v>WELLNESS CENTRE COSTS BY QUARTER</v>
      </c>
    </row>
    <row r="71">
      <c r="A71" t="str">
        <v>Quarter</v>
      </c>
      <c r="B71" t="str">
        <v>Rent</v>
      </c>
      <c r="C71" t="str">
        <v>Salaries</v>
      </c>
      <c r="D71" t="str">
        <v>Operations</v>
      </c>
      <c r="E71" t="str">
        <v>Marketing</v>
      </c>
      <c r="F71" t="str">
        <v>Other</v>
      </c>
      <c r="G71">
        <f>SUM(B71:F71)</f>
      </c>
    </row>
    <row r="72">
      <c r="A72" t="str">
        <v>Q2 2026</v>
      </c>
      <c r="B72">
        <v>150000</v>
      </c>
      <c r="C72">
        <v>465000</v>
      </c>
      <c r="D72">
        <v>75000</v>
      </c>
      <c r="E72">
        <v>53000</v>
      </c>
      <c r="F72">
        <v>146000</v>
      </c>
      <c r="G72">
        <f>SUM(B72:F72)</f>
      </c>
    </row>
    <row r="73">
      <c r="A73" t="str">
        <v>Q3 2026</v>
      </c>
      <c r="B73">
        <v>150000</v>
      </c>
      <c r="C73">
        <v>540000</v>
      </c>
      <c r="D73">
        <v>90000</v>
      </c>
      <c r="E73">
        <v>66000</v>
      </c>
      <c r="F73">
        <v>204000</v>
      </c>
      <c r="G73">
        <f>SUM(B73:F73)</f>
      </c>
    </row>
    <row r="74">
      <c r="A74" t="str">
        <v>Q4 2026</v>
      </c>
      <c r="B74">
        <v>150000</v>
      </c>
      <c r="C74">
        <v>585000</v>
      </c>
      <c r="D74">
        <v>96000</v>
      </c>
      <c r="E74">
        <v>60000</v>
      </c>
      <c r="F74">
        <v>225000</v>
      </c>
      <c r="G74">
        <f>SUM(B74:F74)</f>
      </c>
    </row>
    <row r="75">
      <c r="A75" t="str">
        <v>Q1 2027</v>
      </c>
      <c r="B75">
        <f>SUM(B71:B74)</f>
      </c>
      <c r="C75">
        <f>SUM(C71:C74)</f>
      </c>
      <c r="D75">
        <f>SUM(D71:D74)</f>
      </c>
      <c r="E75">
        <f>SUM(E71:E74)</f>
      </c>
      <c r="F75">
        <f>SUM(F71:F74)</f>
      </c>
      <c r="G75">
        <f>SUM(G71:G74)</f>
      </c>
    </row>
    <row r="76">
      <c r="A76" t="str">
        <v>TOTAL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 t="str">
        <v/>
      </c>
    </row>
    <row r="78">
      <c r="A78" t="str">
        <v>DIVERSIFICATION COSTS BY QUARTER</v>
      </c>
    </row>
    <row r="79">
      <c r="A79" t="str">
        <v>Quarter</v>
      </c>
      <c r="B79" t="str">
        <v>Staff</v>
      </c>
      <c r="C79" t="str">
        <v>Training</v>
      </c>
      <c r="D79" t="str">
        <v>Marketing</v>
      </c>
      <c r="E79" t="str">
        <v>Materials</v>
      </c>
      <c r="F79" t="str">
        <v>Other</v>
      </c>
      <c r="G79">
        <f>SUM(B79:F79)</f>
      </c>
    </row>
    <row r="80">
      <c r="A80" t="str">
        <v>Q2 2026 (Phase 3)</v>
      </c>
      <c r="B80">
        <v>120000</v>
      </c>
      <c r="C80">
        <v>30000</v>
      </c>
      <c r="D80">
        <v>36000</v>
      </c>
      <c r="E80">
        <v>24000</v>
      </c>
      <c r="F80">
        <v>30000</v>
      </c>
      <c r="G80">
        <f>SUM(B80:F80)</f>
      </c>
    </row>
    <row r="81">
      <c r="A81" t="str">
        <v>Q3 2026 (Maintain)</v>
      </c>
      <c r="B81">
        <v>135000</v>
      </c>
      <c r="C81">
        <v>18000</v>
      </c>
      <c r="D81">
        <v>30000</v>
      </c>
      <c r="E81">
        <v>24000</v>
      </c>
      <c r="F81">
        <v>33000</v>
      </c>
      <c r="G81">
        <f>SUM(B81:F81)</f>
      </c>
    </row>
    <row r="82">
      <c r="A82" t="str">
        <v>Q4 2026 (Phase 4)</v>
      </c>
      <c r="B82">
        <v>165000</v>
      </c>
      <c r="C82">
        <v>36000</v>
      </c>
      <c r="D82">
        <v>45000</v>
      </c>
      <c r="E82">
        <v>30000</v>
      </c>
      <c r="F82">
        <v>57000</v>
      </c>
      <c r="G82">
        <f>SUM(B82:F82)</f>
      </c>
    </row>
    <row r="83">
      <c r="A83" t="str">
        <v>Q1 2027 (Phase 5)</v>
      </c>
      <c r="B83">
        <f>SUM(B79:B82)</f>
      </c>
      <c r="C83">
        <f>SUM(C79:C82)</f>
      </c>
      <c r="D83">
        <f>SUM(D79:D82)</f>
      </c>
      <c r="E83">
        <f>SUM(E79:E82)</f>
      </c>
      <c r="F83">
        <f>SUM(F79:F82)</f>
      </c>
      <c r="G83">
        <f>SUM(G79:G82)</f>
      </c>
    </row>
    <row r="84">
      <c r="A84" t="str">
        <v>TOTAL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 t="str">
        <v/>
      </c>
    </row>
    <row r="86">
      <c r="A86" t="str">
        <v>KEY PERFORMANCE INDICATORS</v>
      </c>
    </row>
    <row r="87">
      <c r="A87" t="str">
        <v>Metric</v>
      </c>
      <c r="B87" t="str">
        <v>Target</v>
      </c>
      <c r="C87" t="str">
        <v>Frequency</v>
      </c>
    </row>
    <row r="88">
      <c r="A88" t="str">
        <v>Monthly Operating Margin</v>
      </c>
      <c r="B88" t="str">
        <v>5-8%</v>
      </c>
      <c r="C88" t="str">
        <v>Monthly</v>
      </c>
    </row>
    <row r="89">
      <c r="A89" t="str">
        <v>Revenue Growth (MoM)</v>
      </c>
      <c r="B89" t="str">
        <v>5-15%</v>
      </c>
      <c r="C89" t="str">
        <v>Monthly</v>
      </c>
    </row>
    <row r="90">
      <c r="A90" t="str">
        <v>Days Sales Outstanding</v>
      </c>
      <c r="B90" t="str">
        <v>≤28 days</v>
      </c>
      <c r="C90" t="str">
        <v>Weekly</v>
      </c>
    </row>
    <row r="91">
      <c r="A91" t="str">
        <v>Cash Runway</v>
      </c>
      <c r="B91" t="str">
        <v>≥90 days</v>
      </c>
      <c r="C91" t="str">
        <v>Weekly</v>
      </c>
    </row>
    <row r="92">
      <c r="A92" t="str">
        <v>Total Client Sessions</v>
      </c>
      <c r="B92" t="str">
        <v>3,600+</v>
      </c>
      <c r="C92" t="str">
        <v>Annual</v>
      </c>
    </row>
    <row r="93">
      <c r="A93" t="str">
        <v>Client Satisfaction</v>
      </c>
      <c r="B93" t="str">
        <v>≥4.5/5.0</v>
      </c>
      <c r="C93" t="str">
        <v>Quarterly</v>
      </c>
    </row>
    <row r="94">
      <c r="A94" t="str">
        <v>Staff Retention Rate</v>
      </c>
      <c r="B94" t="str">
        <v>≥85%</v>
      </c>
      <c r="C94" t="str">
        <v>Annual</v>
      </c>
    </row>
    <row r="95">
      <c r="A95" t="str">
        <v>Service Line Profitability</v>
      </c>
      <c r="B95" t="str">
        <v>100% (all)</v>
      </c>
      <c r="C95" t="str">
        <v>Quarterly</v>
      </c>
    </row>
    <row r="96">
      <c r="A96" t="str">
        <v/>
      </c>
    </row>
    <row r="97">
      <c r="A97" t="str">
        <v>FINANCING STRATEGY</v>
      </c>
    </row>
    <row r="98">
      <c r="A98" t="str">
        <v>Option</v>
      </c>
      <c r="B98" t="str">
        <v>Amount (R)</v>
      </c>
      <c r="C98" t="str">
        <v>Status</v>
      </c>
    </row>
    <row r="99">
      <c r="A99" t="str">
        <v>Opening Reserves (Apr 1)</v>
      </c>
      <c r="B99">
        <v>2000000</v>
      </c>
      <c r="C99" t="str">
        <v>Available</v>
      </c>
    </row>
    <row r="100">
      <c r="A100" t="str">
        <v>Credit Facility</v>
      </c>
      <c r="B100">
        <v>350000</v>
      </c>
      <c r="C100" t="str">
        <v>Pre-approved</v>
      </c>
    </row>
    <row r="101">
      <c r="A101" t="str">
        <v>Option 1: Reserve Draw-down</v>
      </c>
      <c r="B101">
        <v>1641000</v>
      </c>
      <c r="C101" t="str">
        <v>Conservative</v>
      </c>
    </row>
    <row r="102">
      <c r="A102" t="str">
        <v>Option 2: Reserves + Credit (Recommended)</v>
      </c>
      <c r="B102">
        <v>1000000</v>
      </c>
      <c r="C102" t="str">
        <v>Balanced</v>
      </c>
    </row>
    <row r="103">
      <c r="A103" t="str">
        <v>Option 3: Investor/Grant Funding</v>
      </c>
      <c r="B103">
        <v>1500000</v>
      </c>
      <c r="C103" t="str">
        <v>Optimal</v>
      </c>
    </row>
    <row r="104">
      <c r="A104" t="str">
        <v/>
      </c>
    </row>
    <row r="105">
      <c r="A105" t="str">
        <v>BREAKEVEN ANALYSIS</v>
      </c>
    </row>
    <row r="106">
      <c r="A106" t="str">
        <v>Milestone</v>
      </c>
      <c r="B106" t="str">
        <v>Month</v>
      </c>
      <c r="C106" t="str">
        <v>Amount (R)</v>
      </c>
    </row>
    <row r="107">
      <c r="A107" t="str">
        <v>First Positive Month</v>
      </c>
      <c r="B107" t="str">
        <v>Dec 2026</v>
      </c>
      <c r="C107">
        <v>306200</v>
      </c>
    </row>
    <row r="108">
      <c r="A108" t="str">
        <v>Peak Deficit</v>
      </c>
      <c r="B108" t="str">
        <v>Sep 2026</v>
      </c>
      <c r="C108">
        <v>-3627925</v>
      </c>
    </row>
    <row r="109">
      <c r="A109" t="str">
        <v>Q4 Net Positive</v>
      </c>
      <c r="B109" t="str">
        <v>Oct-Dec 2026</v>
      </c>
      <c r="C109">
        <v>117750</v>
      </c>
    </row>
    <row r="110">
      <c r="A110" t="str">
        <v>Full Payback Expected</v>
      </c>
      <c r="B110" t="str">
        <v>Dec 2027-Apr 2028</v>
      </c>
      <c r="C110">
        <v>0</v>
      </c>
    </row>
    <row r="111">
      <c r="A111" t="str">
        <v/>
      </c>
    </row>
    <row r="112">
      <c r="A112" t="str">
        <v>RISK MITIGATION</v>
      </c>
    </row>
    <row r="113">
      <c r="A113" t="str">
        <v>Risk</v>
      </c>
      <c r="B113" t="str">
        <v>Probability</v>
      </c>
      <c r="C113" t="str">
        <v>Impact</v>
      </c>
      <c r="D113" t="str">
        <v>Mitigation Budget</v>
      </c>
    </row>
    <row r="114">
      <c r="A114" t="str">
        <v>Revenue Shortfall</v>
      </c>
      <c r="B114" t="str">
        <v>HIGH</v>
      </c>
      <c r="C114" t="str">
        <v>HIGH</v>
      </c>
      <c r="D114">
        <v>200000</v>
      </c>
    </row>
    <row r="115">
      <c r="A115" t="str">
        <v>Cost Overruns</v>
      </c>
      <c r="B115" t="str">
        <v>MEDIUM</v>
      </c>
      <c r="C115" t="str">
        <v>MEDIUM</v>
      </c>
      <c r="D115">
        <f>SUM(D110:D114)</f>
      </c>
    </row>
    <row r="116">
      <c r="A116" t="str">
        <v>Cash Flow Crisis</v>
      </c>
      <c r="B116" t="str">
        <v>HIGH</v>
      </c>
      <c r="C116" t="str">
        <v>SEVERE</v>
      </c>
      <c r="D116">
        <v>350000</v>
      </c>
    </row>
    <row r="117">
      <c r="A117" t="str">
        <v>Staff Turnover</v>
      </c>
      <c r="B117" t="str">
        <v>MEDIUM</v>
      </c>
      <c r="C117" t="str">
        <v>HIGH</v>
      </c>
      <c r="D117">
        <v>100000</v>
      </c>
    </row>
    <row r="118">
      <c r="A118" t="str">
        <v>Regulatory Changes</v>
      </c>
      <c r="B118" t="str">
        <v>MEDIUM</v>
      </c>
      <c r="C118" t="str">
        <v>MEDIUM</v>
      </c>
      <c r="D118">
        <v>50000</v>
      </c>
    </row>
    <row r="119">
      <c r="A119" t="str">
        <v>TOTAL CONTINGENCY</v>
      </c>
      <c r="B119" t="str">
        <v/>
      </c>
      <c r="C119" t="str">
        <v/>
      </c>
      <c r="D119">
        <v>0</v>
      </c>
    </row>
  </sheetData>
  <ignoredErrors>
    <ignoredError numberStoredAsText="1" sqref="A1:G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Diversification</vt:lpstr>
      <vt:lpstr>Turnaround</vt:lpstr>
      <vt:lpstr>Wellness</vt:lpstr>
      <vt:lpstr>Monthly Income</vt:lpstr>
      <vt:lpstr>Budget Q1 2026</vt:lpstr>
      <vt:lpstr>Budget FY 2026-27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2025-11-20T16:31:22Z</dcterms:modified>
  <cp:lastModifiedBy>Attie Nel</cp:lastModifiedBy>
</cp:coreProperties>
</file>