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Diversification\data\"/>
    </mc:Choice>
  </mc:AlternateContent>
  <xr:revisionPtr revIDLastSave="0" documentId="13_ncr:1_{B10C36A0-F59D-436F-8DE5-9357DB447B01}" xr6:coauthVersionLast="47" xr6:coauthVersionMax="47" xr10:uidLastSave="{00000000-0000-0000-0000-000000000000}"/>
  <bookViews>
    <workbookView xWindow="9675" yWindow="-11130" windowWidth="11745" windowHeight="7965" xr2:uid="{00000000-000D-0000-FFFF-FFFF00000000}"/>
  </bookViews>
  <sheets>
    <sheet name="Diversification" sheetId="1" r:id="rId1"/>
    <sheet name="Turnaround" sheetId="2" r:id="rId2"/>
    <sheet name="Wellness" sheetId="3" r:id="rId3"/>
    <sheet name="Monthly Income" sheetId="4" r:id="rId4"/>
    <sheet name="Budget Q1 2026" sheetId="5" r:id="rId5"/>
    <sheet name="Budget FY 2026-27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6" l="1"/>
  <c r="F83" i="6"/>
  <c r="E83" i="6"/>
  <c r="D83" i="6"/>
  <c r="C83" i="6"/>
  <c r="B83" i="6"/>
  <c r="G82" i="6"/>
  <c r="G81" i="6"/>
  <c r="G80" i="6"/>
  <c r="G79" i="6"/>
  <c r="G83" i="6" s="1"/>
  <c r="G75" i="6"/>
  <c r="F75" i="6"/>
  <c r="E75" i="6"/>
  <c r="D75" i="6"/>
  <c r="C75" i="6"/>
  <c r="B75" i="6"/>
  <c r="G74" i="6"/>
  <c r="G73" i="6"/>
  <c r="G72" i="6"/>
  <c r="G71" i="6"/>
  <c r="B67" i="6"/>
  <c r="C66" i="6"/>
  <c r="C65" i="6"/>
  <c r="C64" i="6"/>
  <c r="C63" i="6"/>
  <c r="C62" i="6"/>
  <c r="C61" i="6"/>
  <c r="C60" i="6"/>
  <c r="C59" i="6"/>
  <c r="C58" i="6"/>
  <c r="C57" i="6"/>
  <c r="C56" i="6"/>
  <c r="C55" i="6"/>
  <c r="C67" i="6" s="1"/>
  <c r="B49" i="6"/>
  <c r="B51" i="6" s="1"/>
  <c r="B42" i="6"/>
  <c r="D41" i="6"/>
  <c r="C41" i="6"/>
  <c r="D40" i="6"/>
  <c r="C40" i="6"/>
  <c r="D39" i="6"/>
  <c r="C39" i="6"/>
  <c r="C42" i="6" s="1"/>
  <c r="D38" i="6"/>
  <c r="C38" i="6"/>
  <c r="D37" i="6"/>
  <c r="D42" i="6" s="1"/>
  <c r="C37" i="6"/>
  <c r="C33" i="6"/>
  <c r="B33" i="6"/>
  <c r="D32" i="6"/>
  <c r="D31" i="6"/>
  <c r="D30" i="6"/>
  <c r="D29" i="6"/>
  <c r="D28" i="6"/>
  <c r="D27" i="6"/>
  <c r="D26" i="6"/>
  <c r="D25" i="6"/>
  <c r="D24" i="6"/>
  <c r="D23" i="6"/>
  <c r="D33" i="6" s="1"/>
  <c r="D22" i="6"/>
  <c r="D21" i="6"/>
  <c r="E17" i="6"/>
  <c r="D17" i="6"/>
  <c r="C17" i="6"/>
  <c r="B17" i="6"/>
  <c r="B102" i="5"/>
  <c r="C101" i="5" s="1"/>
  <c r="C99" i="5"/>
  <c r="C98" i="5"/>
  <c r="C102" i="5" s="1"/>
  <c r="B84" i="5"/>
  <c r="C79" i="5"/>
  <c r="B79" i="5"/>
  <c r="E78" i="5"/>
  <c r="D78" i="5"/>
  <c r="D77" i="5"/>
  <c r="E77" i="5" s="1"/>
  <c r="E76" i="5"/>
  <c r="D76" i="5"/>
  <c r="E75" i="5"/>
  <c r="D75" i="5"/>
  <c r="D74" i="5"/>
  <c r="E74" i="5" s="1"/>
  <c r="E73" i="5"/>
  <c r="E72" i="5"/>
  <c r="D71" i="5"/>
  <c r="E71" i="5" s="1"/>
  <c r="E70" i="5"/>
  <c r="E79" i="5" s="1"/>
  <c r="E69" i="5"/>
  <c r="E66" i="5"/>
  <c r="D66" i="5"/>
  <c r="C66" i="5"/>
  <c r="B66" i="5"/>
  <c r="F65" i="5"/>
  <c r="F64" i="5"/>
  <c r="F63" i="5"/>
  <c r="F62" i="5"/>
  <c r="F61" i="5"/>
  <c r="F60" i="5"/>
  <c r="F59" i="5"/>
  <c r="F58" i="5"/>
  <c r="F57" i="5"/>
  <c r="F56" i="5"/>
  <c r="F55" i="5"/>
  <c r="F54" i="5"/>
  <c r="F66" i="5" s="1"/>
  <c r="F53" i="5"/>
  <c r="B50" i="5"/>
  <c r="C49" i="5"/>
  <c r="C48" i="5"/>
  <c r="C47" i="5"/>
  <c r="C46" i="5"/>
  <c r="C45" i="5"/>
  <c r="C44" i="5"/>
  <c r="C43" i="5"/>
  <c r="C42" i="5"/>
  <c r="C41" i="5"/>
  <c r="C40" i="5"/>
  <c r="C39" i="5"/>
  <c r="C50" i="5" s="1"/>
  <c r="C38" i="5"/>
  <c r="C37" i="5"/>
  <c r="B33" i="5"/>
  <c r="C32" i="5"/>
  <c r="C31" i="5"/>
  <c r="C30" i="5"/>
  <c r="C33" i="5" s="1"/>
  <c r="B26" i="5"/>
  <c r="C25" i="5"/>
  <c r="C24" i="5"/>
  <c r="C23" i="5"/>
  <c r="C22" i="5"/>
  <c r="C21" i="5"/>
  <c r="C26" i="5" s="1"/>
  <c r="E17" i="5"/>
  <c r="D17" i="5"/>
  <c r="C17" i="5"/>
  <c r="B17" i="5"/>
  <c r="D17" i="4"/>
  <c r="C17" i="4"/>
  <c r="B17" i="4"/>
  <c r="E15" i="4"/>
  <c r="E14" i="4"/>
  <c r="E13" i="4"/>
  <c r="E12" i="4"/>
  <c r="E11" i="4"/>
  <c r="E10" i="4"/>
  <c r="E9" i="4"/>
  <c r="E8" i="4"/>
  <c r="E7" i="4"/>
  <c r="E6" i="4"/>
  <c r="E5" i="4"/>
  <c r="E4" i="4"/>
  <c r="E17" i="4" s="1"/>
  <c r="B21" i="3"/>
  <c r="B22" i="3" s="1"/>
  <c r="B23" i="3" s="1"/>
  <c r="D17" i="3"/>
  <c r="C17" i="3"/>
  <c r="B17" i="3"/>
  <c r="B10" i="3"/>
  <c r="B20" i="3" s="1"/>
  <c r="B24" i="3" s="1"/>
  <c r="B21" i="2"/>
  <c r="B22" i="2" s="1"/>
  <c r="B23" i="2" s="1"/>
  <c r="B20" i="2"/>
  <c r="B24" i="2" s="1"/>
  <c r="D17" i="2"/>
  <c r="C17" i="2"/>
  <c r="B17" i="2"/>
  <c r="B10" i="2"/>
  <c r="D17" i="1"/>
  <c r="C17" i="1"/>
  <c r="B17" i="1"/>
  <c r="B21" i="1" s="1"/>
  <c r="B10" i="1"/>
  <c r="B20" i="1" s="1"/>
  <c r="B24" i="1" s="1"/>
  <c r="B22" i="1" l="1"/>
  <c r="B23" i="1" s="1"/>
  <c r="D79" i="5"/>
  <c r="C100" i="5"/>
</calcChain>
</file>

<file path=xl/sharedStrings.xml><?xml version="1.0" encoding="utf-8"?>
<sst xmlns="http://schemas.openxmlformats.org/spreadsheetml/2006/main" count="468" uniqueCount="294">
  <si>
    <t>STABILIS DIVERSIFICATION PROJECT</t>
  </si>
  <si>
    <t/>
  </si>
  <si>
    <t>INVESTMENT BREAKDOWN</t>
  </si>
  <si>
    <t>Item</t>
  </si>
  <si>
    <t>Amount (R)</t>
  </si>
  <si>
    <t>Setup Costs</t>
  </si>
  <si>
    <t>Equipment</t>
  </si>
  <si>
    <t>Staffing (6 months)</t>
  </si>
  <si>
    <t>Marketing</t>
  </si>
  <si>
    <t>Contingency</t>
  </si>
  <si>
    <t>Total Investment</t>
  </si>
  <si>
    <t>REVENUE PROJECTIONS</t>
  </si>
  <si>
    <t>Source</t>
  </si>
  <si>
    <t>Year 1 (R)</t>
  </si>
  <si>
    <t>Year 2 (R)</t>
  </si>
  <si>
    <t>Year 3 (R)</t>
  </si>
  <si>
    <t>New Programs</t>
  </si>
  <si>
    <t>Expanded Services</t>
  </si>
  <si>
    <t>Partnerships</t>
  </si>
  <si>
    <t>Projected Revenue</t>
  </si>
  <si>
    <t>RETURN ON INVESTMENT</t>
  </si>
  <si>
    <t>Total 3-Year Revenue</t>
  </si>
  <si>
    <t>Net Gain</t>
  </si>
  <si>
    <t>ROI %</t>
  </si>
  <si>
    <t>Payback Period (months)</t>
  </si>
  <si>
    <t>STABILIS TURNAROUND PROJECT</t>
  </si>
  <si>
    <t>Consultant Fees</t>
  </si>
  <si>
    <t>Process Restructuring</t>
  </si>
  <si>
    <t>Technology Upgrade</t>
  </si>
  <si>
    <t>Staff Training</t>
  </si>
  <si>
    <t>Cost Savings</t>
  </si>
  <si>
    <t>Efficiency Gains</t>
  </si>
  <si>
    <t>New Revenue Streams</t>
  </si>
  <si>
    <t>STABILIS WELLNESS CENTRE PROJECT</t>
  </si>
  <si>
    <t>Facility Setup</t>
  </si>
  <si>
    <t>Medical Equipment</t>
  </si>
  <si>
    <t>Staffing (First Year)</t>
  </si>
  <si>
    <t>Marketing &amp; Launch</t>
  </si>
  <si>
    <t>Clinical Services</t>
  </si>
  <si>
    <t>Wellness Programs</t>
  </si>
  <si>
    <t>Corporate Contracts</t>
  </si>
  <si>
    <t>MONTHLY INCOME TRACKING - 2025</t>
  </si>
  <si>
    <t>Month</t>
  </si>
  <si>
    <t>Diversification</t>
  </si>
  <si>
    <t>Turnaround</t>
  </si>
  <si>
    <t>Wellness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</si>
  <si>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</si>
  <si>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</si>
  <si>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</si>
  <si>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</si>
  <si>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</si>
  <si>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</si>
  <si>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</si>
  <si>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</si>
  <si>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</si>
  <si>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</si>
  <si>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</si>
  <si>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</si>
  <si>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</si>
  <si>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TOTALS</t>
  </si>
  <si>
    <t>BUDGET: DECEMBER 2025 - MARCH 2026</t>
  </si>
  <si>
    <t>4-Month Period: Crisis Turnaround &amp; Launch</t>
  </si>
  <si>
    <t>EXECUTIVE SUMMARY</t>
  </si>
  <si>
    <t>Total Budget</t>
  </si>
  <si>
    <t>Expected Revenue</t>
  </si>
  <si>
    <t>Net Deficit</t>
  </si>
  <si>
    <t>Funding Required</t>
  </si>
  <si>
    <t>MONTHLY CASH FLOW</t>
  </si>
  <si>
    <t>Revenue</t>
  </si>
  <si>
    <t>Expenditure</t>
  </si>
  <si>
    <t>Net Cash Flow</t>
  </si>
  <si>
    <t>Cumulative</t>
  </si>
  <si>
    <t>Dec 2025</t>
  </si>
  <si>
    <t>Jan 2026</t>
  </si>
  <si>
    <t>Feb 2026</t>
  </si>
  <si>
    <t>Mar 2026</t>
  </si>
  <si>
    <t>TOTAL</t>
  </si>
  <si>
    <t>EXPENDITURE BREAKDOWN</t>
  </si>
  <si>
    <t>Category</t>
  </si>
  <si>
    <t>% of Total</t>
  </si>
  <si>
    <t>Existing Operations</t>
  </si>
  <si>
    <t>Wellness Centre Setup</t>
  </si>
  <si>
    <t>Turnaround Project</t>
  </si>
  <si>
    <t>REVENUE BY PROJECT</t>
  </si>
  <si>
    <t>Project</t>
  </si>
  <si>
    <t>Total Revenue</t>
  </si>
  <si>
    <t>Monthly Avg</t>
  </si>
  <si>
    <t>Wellness Centre</t>
  </si>
  <si>
    <t>Turnaround (Cost Avoidance)</t>
  </si>
  <si>
    <t>EXISTING OPERATIONS DETAIL</t>
  </si>
  <si>
    <t>Monthly</t>
  </si>
  <si>
    <t>4-Month Total</t>
  </si>
  <si>
    <t>Staff Salaries</t>
  </si>
  <si>
    <t>Facility Rent</t>
  </si>
  <si>
    <t>Utilities</t>
  </si>
  <si>
    <t>Insurance</t>
  </si>
  <si>
    <t>Security &amp; Cleaning</t>
  </si>
  <si>
    <t>IT &amp; Telecom</t>
  </si>
  <si>
    <t>Compliance &amp; Licensing</t>
  </si>
  <si>
    <t>Medical Supplies</t>
  </si>
  <si>
    <t>Food &amp; Catering</t>
  </si>
  <si>
    <t>Maintenance</t>
  </si>
  <si>
    <t>Office Supplies</t>
  </si>
  <si>
    <t>Transport</t>
  </si>
  <si>
    <t>Bank Fees</t>
  </si>
  <si>
    <t>WELLNESS CENTRE COSTS</t>
  </si>
  <si>
    <t>Facility Lease Deposit</t>
  </si>
  <si>
    <t>Renovations &amp; Fit-Out</t>
  </si>
  <si>
    <t>Furniture &amp; Equipment</t>
  </si>
  <si>
    <t>IT Infrastructure</t>
  </si>
  <si>
    <t>Marketing Launch</t>
  </si>
  <si>
    <t>Legal &amp; Setup</t>
  </si>
  <si>
    <t>Recruitment</t>
  </si>
  <si>
    <t>Utilities &amp; Operations</t>
  </si>
  <si>
    <t>Supplies &amp; Materials</t>
  </si>
  <si>
    <t>Admin &amp; Support</t>
  </si>
  <si>
    <t>Technology</t>
  </si>
  <si>
    <t>DIVERSIFICATION COSTS</t>
  </si>
  <si>
    <t>Jan-Mar (Monthly)</t>
  </si>
  <si>
    <t>3-Month Total</t>
  </si>
  <si>
    <t>Program Development</t>
  </si>
  <si>
    <t>Legal &amp; Compliance</t>
  </si>
  <si>
    <t>Clinical Staff (Part-time)</t>
  </si>
  <si>
    <t>Program Materials</t>
  </si>
  <si>
    <t>Data Tracking</t>
  </si>
  <si>
    <t>Quality Assurance</t>
  </si>
  <si>
    <t>Training &amp; Development</t>
  </si>
  <si>
    <t>TURNAROUND PROJECT COSTS</t>
  </si>
  <si>
    <t>Phase</t>
  </si>
  <si>
    <t>Notes</t>
  </si>
  <si>
    <t>Phase 1: Crisis Response (Dec)</t>
  </si>
  <si>
    <t>SARS, audit, cash forecast, AR blitz, legal</t>
  </si>
  <si>
    <t>Phase 2: Stabilization (Jan-Mar)</t>
  </si>
  <si>
    <t>KPI dashboard, billing, monitoring</t>
  </si>
  <si>
    <t>KEY PERFORMANCE INDICATORS</t>
  </si>
  <si>
    <t>Metric</t>
  </si>
  <si>
    <t>Target</t>
  </si>
  <si>
    <t>Measurement</t>
  </si>
  <si>
    <t>Monthly Operating Margin</t>
  </si>
  <si>
    <t>-45% → -15%</t>
  </si>
  <si>
    <t>Improving trend</t>
  </si>
  <si>
    <t>Days Sales Outstanding (DSO)</t>
  </si>
  <si>
    <t>≤30 days</t>
  </si>
  <si>
    <t>Cash collection</t>
  </si>
  <si>
    <t>Cost per Patient/Client</t>
  </si>
  <si>
    <t>Decrease 20%</t>
  </si>
  <si>
    <t>Efficiency</t>
  </si>
  <si>
    <t>Revenue per Staff Hour</t>
  </si>
  <si>
    <t>Increase 25%</t>
  </si>
  <si>
    <t>Productivity</t>
  </si>
  <si>
    <t>Cash Runway</t>
  </si>
  <si>
    <t>Maintain 6+ months</t>
  </si>
  <si>
    <t>Survival buffer</t>
  </si>
  <si>
    <t>SARS Payment Plan</t>
  </si>
  <si>
    <t>Signed</t>
  </si>
  <si>
    <t>Maintenance Cost Reduction</t>
  </si>
  <si>
    <t>-65%</t>
  </si>
  <si>
    <t>R84k → R30k/month</t>
  </si>
  <si>
    <t>AR Collections</t>
  </si>
  <si>
    <t>50% of R956k</t>
  </si>
  <si>
    <t>FUNDING SOURCES</t>
  </si>
  <si>
    <t>Investment Reserve Draw-down</t>
  </si>
  <si>
    <t>Working Capital Facility</t>
  </si>
  <si>
    <t>Grant Funding (Lotto - Capex)</t>
  </si>
  <si>
    <t>Operational Cash Flow</t>
  </si>
  <si>
    <t>TOTAL FUNDING</t>
  </si>
  <si>
    <t>CRITICAL SUCCESS FACTORS</t>
  </si>
  <si>
    <t>Factor</t>
  </si>
  <si>
    <t>Status</t>
  </si>
  <si>
    <t>Priority</t>
  </si>
  <si>
    <t>SARS Payment Plan Signed</t>
  </si>
  <si>
    <t>PENDING</t>
  </si>
  <si>
    <t>CRITICAL</t>
  </si>
  <si>
    <t>Wellness Centre Launch Jan 2026</t>
  </si>
  <si>
    <t>ON TRACK</t>
  </si>
  <si>
    <t>HIGH</t>
  </si>
  <si>
    <t>Reserve Protection (&gt;R2M)</t>
  </si>
  <si>
    <t>AT RISK</t>
  </si>
  <si>
    <t>Staff Retention</t>
  </si>
  <si>
    <t>MONITORING</t>
  </si>
  <si>
    <t>Turnaround 75% Complete</t>
  </si>
  <si>
    <t>MEDIUM</t>
  </si>
  <si>
    <t>BUDGET: APRIL 2026 - MARCH 2027</t>
  </si>
  <si>
    <t>12-Month Period: Growth &amp; Profitability Year</t>
  </si>
  <si>
    <t>Total Operating Budget</t>
  </si>
  <si>
    <t>Net Operating Surplus</t>
  </si>
  <si>
    <t>Operating Margin</t>
  </si>
  <si>
    <t>6.6%</t>
  </si>
  <si>
    <t>QUARTERLY SUMMARY</t>
  </si>
  <si>
    <t>Quarter</t>
  </si>
  <si>
    <t>Expenses</t>
  </si>
  <si>
    <t>Net</t>
  </si>
  <si>
    <t>Q2 2026 (Apr-Jun)</t>
  </si>
  <si>
    <t>Q3 2026 (Jul-Sep)</t>
  </si>
  <si>
    <t>Q4 2026 (Oct-Dec)</t>
  </si>
  <si>
    <t>Q1 2027 (Jan-Mar)</t>
  </si>
  <si>
    <t>TOTAL FY</t>
  </si>
  <si>
    <t>MONTHLY REVENUE DETAIL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</si>
  <si>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</si>
  <si>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</si>
  <si>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</si>
  <si>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</si>
  <si>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</si>
  <si>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</si>
  <si>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</si>
  <si>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</si>
  <si>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</si>
  <si>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</si>
  <si>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</si>
  <si>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</si>
  <si>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EXPENDITURE BY CATEGORY</t>
  </si>
  <si>
    <t>Annual Amount</t>
  </si>
  <si>
    <t>Corporate &amp; Overhead</t>
  </si>
  <si>
    <t>Turnaround Maintenance</t>
  </si>
  <si>
    <t>TOTAL OPERATING</t>
  </si>
  <si>
    <t>CAPITAL EXPENDITURE (CAPEX)</t>
  </si>
  <si>
    <t>Key Items</t>
  </si>
  <si>
    <t>Q2 2026</t>
  </si>
  <si>
    <t>IT upgrade, medical equipment, furniture</t>
  </si>
  <si>
    <t>Q3 2026</t>
  </si>
  <si>
    <t>Vehicle, facility improvements, digital platform</t>
  </si>
  <si>
    <t>Q4 2026</t>
  </si>
  <si>
    <t>Equipment replacement (R262k solar grant-funded)</t>
  </si>
  <si>
    <t>Q1 2027</t>
  </si>
  <si>
    <t>Technology upgrades, office equipment</t>
  </si>
  <si>
    <t>TOTAL CAPEX</t>
  </si>
  <si>
    <t>Less: Grant Funding</t>
  </si>
  <si>
    <t>Lotto grant for solar</t>
  </si>
  <si>
    <t>NET CAPEX</t>
  </si>
  <si>
    <t>EXISTING OPERATIONS (POST-TURNAROUND)</t>
  </si>
  <si>
    <t>Maintenance (Capped)</t>
  </si>
  <si>
    <t>WELLNESS CENTRE COSTS BY QUARTER</t>
  </si>
  <si>
    <t>Rent</t>
  </si>
  <si>
    <t>Salaries</t>
  </si>
  <si>
    <t>Operations</t>
  </si>
  <si>
    <t>Other</t>
  </si>
  <si>
    <t>DIVERSIFICATION COSTS BY QUARTER</t>
  </si>
  <si>
    <t>Staff</t>
  </si>
  <si>
    <t>Training</t>
  </si>
  <si>
    <t>Materials</t>
  </si>
  <si>
    <t>Q2 2026 (Phase 3)</t>
  </si>
  <si>
    <t>Q3 2026 (Maintain)</t>
  </si>
  <si>
    <t>Q4 2026 (Phase 4)</t>
  </si>
  <si>
    <t>Q1 2027 (Phase 5)</t>
  </si>
  <si>
    <t>Frequency</t>
  </si>
  <si>
    <t>5-8%</t>
  </si>
  <si>
    <t>Revenue Growth (MoM)</t>
  </si>
  <si>
    <t>5-15%</t>
  </si>
  <si>
    <t>Days Sales Outstanding</t>
  </si>
  <si>
    <t>≤28 days</t>
  </si>
  <si>
    <t>Weekly</t>
  </si>
  <si>
    <t>≥90 days</t>
  </si>
  <si>
    <t>Total Client Sessions</t>
  </si>
  <si>
    <t>3,600+</t>
  </si>
  <si>
    <t>Annual</t>
  </si>
  <si>
    <t>Client Satisfaction</t>
  </si>
  <si>
    <t>≥4.5/5.0</t>
  </si>
  <si>
    <t>Quarterly</t>
  </si>
  <si>
    <t>Staff Retention Rate</t>
  </si>
  <si>
    <t>≥85%</t>
  </si>
  <si>
    <t>Service Line Profitability</t>
  </si>
  <si>
    <t>100% (all)</t>
  </si>
  <si>
    <t>FINANCING STRATEGY</t>
  </si>
  <si>
    <t>Option</t>
  </si>
  <si>
    <t>Opening Reserves (Apr 1)</t>
  </si>
  <si>
    <t>Available</t>
  </si>
  <si>
    <t>Credit Facility</t>
  </si>
  <si>
    <t>Pre-approved</t>
  </si>
  <si>
    <t>Option 1: Reserve Draw-down</t>
  </si>
  <si>
    <t>Conservative</t>
  </si>
  <si>
    <t>Option 2: Reserves + Credit (Recommended)</t>
  </si>
  <si>
    <t>Balanced</t>
  </si>
  <si>
    <t>Option 3: Investor/Grant Funding</t>
  </si>
  <si>
    <t>Optimal</t>
  </si>
  <si>
    <t>BREAKEVEN ANALYSIS</t>
  </si>
  <si>
    <t>Milestone</t>
  </si>
  <si>
    <t>First Positive Month</t>
  </si>
  <si>
    <t>Peak Deficit</t>
  </si>
  <si>
    <t>Q4 Net Positive</t>
  </si>
  <si>
    <t>Oct-Dec 2026</t>
  </si>
  <si>
    <t>Full Payback Expected</t>
  </si>
  <si>
    <t>Dec 2027-Apr 2028</t>
  </si>
  <si>
    <t>RISK MITIGATION</t>
  </si>
  <si>
    <t>Risk</t>
  </si>
  <si>
    <t>Probability</t>
  </si>
  <si>
    <t>Impact</t>
  </si>
  <si>
    <t>Mitigation Budget</t>
  </si>
  <si>
    <t>Revenue Shortfall</t>
  </si>
  <si>
    <t>Cost Overruns</t>
  </si>
  <si>
    <t>Cash Flow Crisis</t>
  </si>
  <si>
    <t>SEVERE</t>
  </si>
  <si>
    <t>Staff Turnover</t>
  </si>
  <si>
    <t>Regulatory Changes</t>
  </si>
  <si>
    <t>TOTAL CONTINGENCY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</si>
</sst>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/>
  </sheetViews>
  <sheetFormatPr defaultRowHeight="14.4" x14ac:dyDescent="0.3"/>
  <sheetData>
    <row r="1" spans="1:4" ht="15.6" x14ac:dyDescent="0.3">
      <c r="A1" t="s">
        <v>0</v>
      </c>
    </row>
    <row r="2" spans="1:4" ht="15.6" x14ac:dyDescent="0.3">
      <c r="A2" t="s">
        <v>1</v>
      </c>
    </row>
    <row r="3" spans="1:4" ht="15.6" x14ac:dyDescent="0.3">
      <c r="A3" t="s">
        <v>2</v>
      </c>
    </row>
    <row r="4" spans="1:4" ht="15.6" x14ac:dyDescent="0.3">
      <c r="A4" t="s">
        <v>3</v>
      </c>
      <c r="B4" t="s">
        <v>4</v>
      </c>
    </row>
    <row r="5" spans="1:4" ht="15.6" x14ac:dyDescent="0.3">
      <c r="A5" t="s">
        <v>5</v>
      </c>
      <c r="B5">
        <v>15000</v>
      </c>
    </row>
    <row r="6" spans="1:4" ht="15.6" x14ac:dyDescent="0.3">
      <c r="A6" t="s">
        <v>6</v>
      </c>
      <c r="B6">
        <v>50000</v>
      </c>
    </row>
    <row r="7" spans="1:4" ht="15.6" x14ac:dyDescent="0.3">
      <c r="A7" t="s">
        <v>7</v>
      </c>
      <c r="B7">
        <v>300000</v>
      </c>
    </row>
    <row r="8" spans="1:4" ht="15.6" x14ac:dyDescent="0.3">
      <c r="A8" t="s">
        <v>8</v>
      </c>
      <c r="B8">
        <v>50000</v>
      </c>
    </row>
    <row r="9" spans="1:4" ht="15.6" x14ac:dyDescent="0.3">
      <c r="A9" t="s">
        <v>9</v>
      </c>
      <c r="B9">
        <v>100000</v>
      </c>
    </row>
    <row r="10" spans="1:4" ht="15.6" x14ac:dyDescent="0.3">
      <c r="A10" t="s">
        <v>10</v>
      </c>
      <c r="B10">
        <f>SUM(B5:B9)</f>
        <v>515000</v>
      </c>
    </row>
    <row r="11" spans="1:4" ht="15.6" x14ac:dyDescent="0.3">
      <c r="A11" t="s">
        <v>1</v>
      </c>
    </row>
    <row r="12" spans="1:4" ht="15.6" x14ac:dyDescent="0.3">
      <c r="A12" t="s">
        <v>11</v>
      </c>
    </row>
    <row r="13" spans="1:4" ht="15.6" x14ac:dyDescent="0.3">
      <c r="A13" t="s">
        <v>12</v>
      </c>
      <c r="B13" t="s">
        <v>13</v>
      </c>
      <c r="C13" t="s">
        <v>14</v>
      </c>
      <c r="D13" t="s">
        <v>15</v>
      </c>
    </row>
    <row r="14" spans="1:4" ht="15.6" x14ac:dyDescent="0.3">
      <c r="A14" t="s">
        <v>16</v>
      </c>
      <c r="B14">
        <v>500000</v>
      </c>
      <c r="C14">
        <v>750000</v>
      </c>
      <c r="D14">
        <v>1000000</v>
      </c>
    </row>
    <row r="15" spans="1:4" ht="15.6" x14ac:dyDescent="0.3">
      <c r="A15" t="s">
        <v>17</v>
      </c>
      <c r="B15">
        <v>300000</v>
      </c>
      <c r="C15">
        <v>450000</v>
      </c>
      <c r="D15">
        <v>600000</v>
      </c>
    </row>
    <row r="16" spans="1:4" ht="15.6" x14ac:dyDescent="0.3">
      <c r="A16" t="s">
        <v>18</v>
      </c>
      <c r="B16">
        <v>200000</v>
      </c>
      <c r="C16">
        <v>300000</v>
      </c>
      <c r="D16">
        <v>400000</v>
      </c>
    </row>
    <row r="17" spans="1:4" ht="15.6" x14ac:dyDescent="0.3">
      <c r="A17" t="s">
        <v>19</v>
      </c>
      <c r="B17">
        <f>SUM(B14:B16)</f>
        <v>1000000</v>
      </c>
      <c r="C17">
        <f>SUM(C14:C16)</f>
        <v>1500000</v>
      </c>
      <c r="D17">
        <f>SUM(D14:D16)</f>
        <v>2000000</v>
      </c>
    </row>
    <row r="18" spans="1:4" ht="15.6" x14ac:dyDescent="0.3">
      <c r="A18" t="s">
        <v>1</v>
      </c>
    </row>
    <row r="19" spans="1:4" ht="15.6" x14ac:dyDescent="0.3">
      <c r="A19" t="s">
        <v>20</v>
      </c>
    </row>
    <row r="20" spans="1:4" ht="15.6" x14ac:dyDescent="0.3">
      <c r="A20" t="s">
        <v>10</v>
      </c>
      <c r="B20">
        <f>B10</f>
        <v>515000</v>
      </c>
    </row>
    <row r="21" spans="1:4" ht="15.6" x14ac:dyDescent="0.3">
      <c r="A21" t="s">
        <v>21</v>
      </c>
      <c r="B21">
        <f>B17+C17+D17</f>
        <v>4500000</v>
      </c>
    </row>
    <row r="22" spans="1:4" ht="15.6" x14ac:dyDescent="0.3">
      <c r="A22" t="s">
        <v>22</v>
      </c>
      <c r="B22">
        <f>B21-B20</f>
        <v>3985000</v>
      </c>
    </row>
    <row r="23" spans="1:4" ht="15.6" x14ac:dyDescent="0.3">
      <c r="A23" t="s">
        <v>23</v>
      </c>
      <c r="B23">
        <f>(B22/B20)*100</f>
        <v>773.78640776699024</v>
      </c>
    </row>
    <row r="24" spans="1:4" ht="15.6" x14ac:dyDescent="0.3">
      <c r="A24" t="s">
        <v>24</v>
      </c>
      <c r="B24">
        <f>(B20/(B17/12))</f>
        <v>6.1800000000000006</v>
      </c>
    </row>
  </sheetData>
  <pageMargins left="0.7" right="0.7" top="0.75" bottom="0.75" header="0.3" footer="0.3"/>
  <ignoredErrors>
    <ignoredError sqref="A1:D2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/>
  </sheetViews>
  <sheetFormatPr defaultRowHeight="14.4" x14ac:dyDescent="0.3"/>
  <sheetData>
    <row r="1" spans="1:4" ht="15.6" x14ac:dyDescent="0.3">
      <c r="A1" t="s">
        <v>25</v>
      </c>
    </row>
    <row r="2" spans="1:4" ht="15.6" x14ac:dyDescent="0.3">
      <c r="A2" t="s">
        <v>1</v>
      </c>
    </row>
    <row r="3" spans="1:4" ht="15.6" x14ac:dyDescent="0.3">
      <c r="A3" t="s">
        <v>2</v>
      </c>
    </row>
    <row r="4" spans="1:4" ht="15.6" x14ac:dyDescent="0.3">
      <c r="A4" t="s">
        <v>3</v>
      </c>
      <c r="B4" t="s">
        <v>4</v>
      </c>
    </row>
    <row r="5" spans="1:4" ht="15.6" x14ac:dyDescent="0.3">
      <c r="A5" t="s">
        <v>26</v>
      </c>
      <c r="B5">
        <v>50000</v>
      </c>
    </row>
    <row r="6" spans="1:4" ht="15.6" x14ac:dyDescent="0.3">
      <c r="A6" t="s">
        <v>27</v>
      </c>
      <c r="B6">
        <v>30000</v>
      </c>
    </row>
    <row r="7" spans="1:4" ht="15.6" x14ac:dyDescent="0.3">
      <c r="A7" t="s">
        <v>28</v>
      </c>
      <c r="B7">
        <v>40000</v>
      </c>
    </row>
    <row r="8" spans="1:4" ht="15.6" x14ac:dyDescent="0.3">
      <c r="A8" t="s">
        <v>29</v>
      </c>
      <c r="B8">
        <v>20000</v>
      </c>
    </row>
    <row r="9" spans="1:4" ht="15.6" x14ac:dyDescent="0.3">
      <c r="A9" t="s">
        <v>9</v>
      </c>
      <c r="B9">
        <v>15000</v>
      </c>
    </row>
    <row r="10" spans="1:4" ht="15.6" x14ac:dyDescent="0.3">
      <c r="A10" t="s">
        <v>10</v>
      </c>
      <c r="B10">
        <f>SUM(B5:B9)</f>
        <v>155000</v>
      </c>
    </row>
    <row r="11" spans="1:4" ht="15.6" x14ac:dyDescent="0.3">
      <c r="A11" t="s">
        <v>1</v>
      </c>
    </row>
    <row r="12" spans="1:4" ht="15.6" x14ac:dyDescent="0.3">
      <c r="A12" t="s">
        <v>11</v>
      </c>
    </row>
    <row r="13" spans="1:4" ht="15.6" x14ac:dyDescent="0.3">
      <c r="A13" t="s">
        <v>12</v>
      </c>
      <c r="B13" t="s">
        <v>13</v>
      </c>
      <c r="C13" t="s">
        <v>14</v>
      </c>
      <c r="D13" t="s">
        <v>15</v>
      </c>
    </row>
    <row r="14" spans="1:4" ht="15.6" x14ac:dyDescent="0.3">
      <c r="A14" t="s">
        <v>30</v>
      </c>
      <c r="B14">
        <v>800000</v>
      </c>
      <c r="C14">
        <v>1000000</v>
      </c>
      <c r="D14">
        <v>1200000</v>
      </c>
    </row>
    <row r="15" spans="1:4" ht="15.6" x14ac:dyDescent="0.3">
      <c r="A15" t="s">
        <v>31</v>
      </c>
      <c r="B15">
        <v>600000</v>
      </c>
      <c r="C15">
        <v>750000</v>
      </c>
      <c r="D15">
        <v>900000</v>
      </c>
    </row>
    <row r="16" spans="1:4" ht="15.6" x14ac:dyDescent="0.3">
      <c r="A16" t="s">
        <v>32</v>
      </c>
      <c r="B16">
        <v>400000</v>
      </c>
      <c r="C16">
        <v>600000</v>
      </c>
      <c r="D16">
        <v>800000</v>
      </c>
    </row>
    <row r="17" spans="1:4" ht="15.6" x14ac:dyDescent="0.3">
      <c r="A17" t="s">
        <v>19</v>
      </c>
      <c r="B17">
        <f>SUM(B14:B16)</f>
        <v>1800000</v>
      </c>
      <c r="C17">
        <f>SUM(C14:C16)</f>
        <v>2350000</v>
      </c>
      <c r="D17">
        <f>SUM(D14:D16)</f>
        <v>2900000</v>
      </c>
    </row>
    <row r="18" spans="1:4" ht="15.6" x14ac:dyDescent="0.3">
      <c r="A18" t="s">
        <v>1</v>
      </c>
    </row>
    <row r="19" spans="1:4" ht="15.6" x14ac:dyDescent="0.3">
      <c r="A19" t="s">
        <v>20</v>
      </c>
    </row>
    <row r="20" spans="1:4" ht="15.6" x14ac:dyDescent="0.3">
      <c r="A20" t="s">
        <v>10</v>
      </c>
      <c r="B20">
        <f>B10</f>
        <v>155000</v>
      </c>
    </row>
    <row r="21" spans="1:4" ht="15.6" x14ac:dyDescent="0.3">
      <c r="A21" t="s">
        <v>21</v>
      </c>
      <c r="B21">
        <f>B17+C17+D17</f>
        <v>7050000</v>
      </c>
    </row>
    <row r="22" spans="1:4" ht="15.6" x14ac:dyDescent="0.3">
      <c r="A22" t="s">
        <v>22</v>
      </c>
      <c r="B22">
        <f>B21-B20</f>
        <v>6895000</v>
      </c>
    </row>
    <row r="23" spans="1:4" ht="15.6" x14ac:dyDescent="0.3">
      <c r="A23" t="s">
        <v>23</v>
      </c>
      <c r="B23">
        <f>(B22/B20)*100</f>
        <v>4448.3870967741932</v>
      </c>
    </row>
    <row r="24" spans="1:4" ht="15.6" x14ac:dyDescent="0.3">
      <c r="A24" t="s">
        <v>24</v>
      </c>
      <c r="B24">
        <f>(B20/(B17/12))</f>
        <v>1.0333333333333334</v>
      </c>
    </row>
  </sheetData>
  <pageMargins left="0.7" right="0.7" top="0.75" bottom="0.75" header="0.3" footer="0.3"/>
  <ignoredErrors>
    <ignoredError sqref="A1:D2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workbookViewId="0"/>
  </sheetViews>
  <sheetFormatPr defaultRowHeight="14.4" x14ac:dyDescent="0.3"/>
  <sheetData>
    <row r="1" spans="1:4" ht="15.6" x14ac:dyDescent="0.3">
      <c r="A1" t="s">
        <v>33</v>
      </c>
    </row>
    <row r="2" spans="1:4" ht="15.6" x14ac:dyDescent="0.3">
      <c r="A2" t="s">
        <v>1</v>
      </c>
    </row>
    <row r="3" spans="1:4" ht="15.6" x14ac:dyDescent="0.3">
      <c r="A3" t="s">
        <v>2</v>
      </c>
    </row>
    <row r="4" spans="1:4" ht="15.6" x14ac:dyDescent="0.3">
      <c r="A4" t="s">
        <v>3</v>
      </c>
      <c r="B4" t="s">
        <v>4</v>
      </c>
    </row>
    <row r="5" spans="1:4" ht="15.6" x14ac:dyDescent="0.3">
      <c r="A5" t="s">
        <v>34</v>
      </c>
      <c r="B5">
        <v>100000</v>
      </c>
    </row>
    <row r="6" spans="1:4" ht="15.6" x14ac:dyDescent="0.3">
      <c r="A6" t="s">
        <v>35</v>
      </c>
      <c r="B6">
        <v>80000</v>
      </c>
    </row>
    <row r="7" spans="1:4" ht="15.6" x14ac:dyDescent="0.3">
      <c r="A7" t="s">
        <v>36</v>
      </c>
      <c r="B7">
        <v>120000</v>
      </c>
    </row>
    <row r="8" spans="1:4" ht="15.6" x14ac:dyDescent="0.3">
      <c r="A8" t="s">
        <v>37</v>
      </c>
      <c r="B8">
        <v>30000</v>
      </c>
    </row>
    <row r="9" spans="1:4" ht="15.6" x14ac:dyDescent="0.3">
      <c r="A9" t="s">
        <v>9</v>
      </c>
      <c r="B9">
        <v>250000</v>
      </c>
    </row>
    <row r="10" spans="1:4" ht="15.6" x14ac:dyDescent="0.3">
      <c r="A10" t="s">
        <v>10</v>
      </c>
      <c r="B10">
        <f>SUM(B5:B9)</f>
        <v>580000</v>
      </c>
    </row>
    <row r="11" spans="1:4" ht="15.6" x14ac:dyDescent="0.3">
      <c r="A11" t="s">
        <v>1</v>
      </c>
    </row>
    <row r="12" spans="1:4" ht="15.6" x14ac:dyDescent="0.3">
      <c r="A12" t="s">
        <v>11</v>
      </c>
    </row>
    <row r="13" spans="1:4" ht="15.6" x14ac:dyDescent="0.3">
      <c r="A13" t="s">
        <v>12</v>
      </c>
      <c r="B13" t="s">
        <v>13</v>
      </c>
      <c r="C13" t="s">
        <v>14</v>
      </c>
      <c r="D13" t="s">
        <v>15</v>
      </c>
    </row>
    <row r="14" spans="1:4" ht="15.6" x14ac:dyDescent="0.3">
      <c r="A14" t="s">
        <v>38</v>
      </c>
      <c r="B14">
        <v>1500000</v>
      </c>
      <c r="C14">
        <v>2000000</v>
      </c>
      <c r="D14">
        <v>2500000</v>
      </c>
    </row>
    <row r="15" spans="1:4" ht="15.6" x14ac:dyDescent="0.3">
      <c r="A15" t="s">
        <v>39</v>
      </c>
      <c r="B15">
        <v>800000</v>
      </c>
      <c r="C15">
        <v>1200000</v>
      </c>
      <c r="D15">
        <v>1600000</v>
      </c>
    </row>
    <row r="16" spans="1:4" ht="15.6" x14ac:dyDescent="0.3">
      <c r="A16" t="s">
        <v>40</v>
      </c>
      <c r="B16">
        <v>1000000</v>
      </c>
      <c r="C16">
        <v>1500000</v>
      </c>
      <c r="D16">
        <v>2000000</v>
      </c>
    </row>
    <row r="17" spans="1:4" ht="15.6" x14ac:dyDescent="0.3">
      <c r="A17" t="s">
        <v>19</v>
      </c>
      <c r="B17">
        <f>SUM(B14:B16)</f>
        <v>3300000</v>
      </c>
      <c r="C17">
        <f>SUM(C14:C16)</f>
        <v>4700000</v>
      </c>
      <c r="D17">
        <f>SUM(D14:D16)</f>
        <v>6100000</v>
      </c>
    </row>
    <row r="18" spans="1:4" ht="15.6" x14ac:dyDescent="0.3">
      <c r="A18" t="s">
        <v>1</v>
      </c>
    </row>
    <row r="19" spans="1:4" ht="15.6" x14ac:dyDescent="0.3">
      <c r="A19" t="s">
        <v>20</v>
      </c>
    </row>
    <row r="20" spans="1:4" ht="15.6" x14ac:dyDescent="0.3">
      <c r="A20" t="s">
        <v>10</v>
      </c>
      <c r="B20">
        <f>B10</f>
        <v>580000</v>
      </c>
    </row>
    <row r="21" spans="1:4" ht="15.6" x14ac:dyDescent="0.3">
      <c r="A21" t="s">
        <v>21</v>
      </c>
      <c r="B21">
        <f>B17+C17+D17</f>
        <v>14100000</v>
      </c>
    </row>
    <row r="22" spans="1:4" ht="15.6" x14ac:dyDescent="0.3">
      <c r="A22" t="s">
        <v>22</v>
      </c>
      <c r="B22">
        <f>B21-B20</f>
        <v>13520000</v>
      </c>
    </row>
    <row r="23" spans="1:4" ht="15.6" x14ac:dyDescent="0.3">
      <c r="A23" t="s">
        <v>23</v>
      </c>
      <c r="B23">
        <f>(B22/B20)*100</f>
        <v>2331.0344827586205</v>
      </c>
    </row>
    <row r="24" spans="1:4" ht="15.6" x14ac:dyDescent="0.3">
      <c r="A24" t="s">
        <v>24</v>
      </c>
      <c r="B24">
        <f>(B20/(B17/12))</f>
        <v>2.1090909090909089</v>
      </c>
    </row>
  </sheetData>
  <pageMargins left="0.7" right="0.7" top="0.75" bottom="0.75" header="0.3" footer="0.3"/>
  <ignoredErrors>
    <ignoredError sqref="A1:D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"/>
  <sheetViews>
    <sheetView workbookViewId="0"/>
  </sheetViews>
  <sheetFormatPr defaultRowHeight="14.4" x14ac:dyDescent="0.3"/>
  <sheetData>
    <row r="1" spans="1:5" ht="15.6" x14ac:dyDescent="0.3">
      <c r="A1" t="s">
        <v>41</v>
      </c>
    </row>
    <row r="2" spans="1:5" ht="15.6" x14ac:dyDescent="0.3">
      <c r="A2" t="s">
        <v>1</v>
      </c>
    </row>
    <row r="3" spans="1:5" ht="15.6" x14ac:dyDescent="0.3">
      <c r="A3" t="s">
        <v>42</v>
      </c>
      <c r="B3" t="s">
        <v>43</v>
      </c>
      <c r="C3" t="s">
        <v>44</v>
      </c>
      <c r="D3" t="s">
        <v>45</v>
      </c>
      <c r="E3" t="s">
        <v>46</v>
      </c>
    </row>
    <row r="4" spans="1:5" ht="15.6" x14ac:dyDescent="0.3">
      <c r="A4" t="s">
        <v>47</v>
      </c>
      <c r="B4">
        <v>0</v>
      </c>
      <c r="C4">
        <v>0</v>
      </c>
      <c r="D4">
        <v>0</v>
      </c>
      <c r="E4">
        <f t="shared" ref="E4:E15" si="0">SUM(B4:D4)</f>
        <v>0</v>
      </c>
    </row>
    <row r="5" spans="1:5" ht="15.6" x14ac:dyDescent="0.3">
      <c r="A5" t="s">
        <v>48</v>
      </c>
      <c r="B5">
        <v>0</v>
      </c>
      <c r="C5">
        <v>0</v>
      </c>
      <c r="D5">
        <v>0</v>
      </c>
      <c r="E5">
        <f t="shared" si="0"/>
        <v>0</v>
      </c>
    </row>
    <row r="6" spans="1:5" ht="15.6" x14ac:dyDescent="0.3">
      <c r="A6" t="s">
        <v>49</v>
      </c>
      <c r="B6">
        <v>0</v>
      </c>
      <c r="C6">
        <v>0</v>
      </c>
      <c r="D6">
        <v>0</v>
      </c>
      <c r="E6">
        <f t="shared" si="0"/>
        <v>0</v>
      </c>
    </row>
    <row r="7" spans="1:5" ht="15.6" x14ac:dyDescent="0.3">
      <c r="A7" t="s">
        <v>50</v>
      </c>
      <c r="B7">
        <v>0</v>
      </c>
      <c r="C7">
        <v>0</v>
      </c>
      <c r="D7">
        <v>0</v>
      </c>
      <c r="E7">
        <f t="shared" si="0"/>
        <v>0</v>
      </c>
    </row>
    <row r="8" spans="1:5" ht="15.6" x14ac:dyDescent="0.3">
      <c r="A8" t="s">
        <v>51</v>
      </c>
      <c r="B8">
        <v>0</v>
      </c>
      <c r="C8">
        <v>0</v>
      </c>
      <c r="D8">
        <v>0</v>
      </c>
      <c r="E8">
        <f t="shared" si="0"/>
        <v>0</v>
      </c>
    </row>
    <row r="9" spans="1:5" ht="15.6" x14ac:dyDescent="0.3">
      <c r="A9" t="s">
        <v>52</v>
      </c>
      <c r="B9">
        <v>0</v>
      </c>
      <c r="C9">
        <v>0</v>
      </c>
      <c r="D9">
        <v>0</v>
      </c>
      <c r="E9">
        <f t="shared" si="0"/>
        <v>0</v>
      </c>
    </row>
    <row r="10" spans="1:5" ht="15.6" x14ac:dyDescent="0.3">
      <c r="A10" t="s">
        <v>53</v>
      </c>
      <c r="B10">
        <v>0</v>
      </c>
      <c r="C10">
        <v>0</v>
      </c>
      <c r="D10">
        <v>0</v>
      </c>
      <c r="E10">
        <f t="shared" si="0"/>
        <v>0</v>
      </c>
    </row>
    <row r="11" spans="1:5" ht="15.6" x14ac:dyDescent="0.3">
      <c r="A11" t="s">
        <v>54</v>
      </c>
      <c r="B11">
        <v>0</v>
      </c>
      <c r="C11">
        <v>0</v>
      </c>
      <c r="D11">
        <v>0</v>
      </c>
      <c r="E11">
        <f t="shared" si="0"/>
        <v>0</v>
      </c>
    </row>
    <row r="12" spans="1:5" ht="15.6" x14ac:dyDescent="0.3">
      <c r="A12" t="s">
        <v>55</v>
      </c>
      <c r="B12">
        <v>0</v>
      </c>
      <c r="C12">
        <v>0</v>
      </c>
      <c r="D12">
        <v>0</v>
      </c>
      <c r="E12">
        <f t="shared" si="0"/>
        <v>0</v>
      </c>
    </row>
    <row r="13" spans="1:5" ht="15.6" x14ac:dyDescent="0.3">
      <c r="A13" t="s">
        <v>56</v>
      </c>
      <c r="B13">
        <v>0</v>
      </c>
      <c r="C13">
        <v>0</v>
      </c>
      <c r="D13">
        <v>0</v>
      </c>
      <c r="E13">
        <f t="shared" si="0"/>
        <v>0</v>
      </c>
    </row>
    <row r="14" spans="1:5" ht="15.6" x14ac:dyDescent="0.3">
      <c r="A14" t="s">
        <v>57</v>
      </c>
      <c r="B14">
        <v>0</v>
      </c>
      <c r="C14">
        <v>0</v>
      </c>
      <c r="D14">
        <v>0</v>
      </c>
      <c r="E14">
        <f t="shared" si="0"/>
        <v>0</v>
      </c>
    </row>
    <row r="15" spans="1:5" ht="15.6" x14ac:dyDescent="0.3">
      <c r="A15" t="s">
        <v>58</v>
      </c>
      <c r="B15">
        <v>0</v>
      </c>
      <c r="C15">
        <v>0</v>
      </c>
      <c r="D15">
        <v>0</v>
      </c>
      <c r="E15">
        <f t="shared" si="0"/>
        <v>0</v>
      </c>
    </row>
    <row r="16" spans="1:5" ht="15.6" x14ac:dyDescent="0.3">
      <c r="A16" t="s">
        <v>1</v>
      </c>
    </row>
    <row r="17" spans="1:5" ht="15.6" x14ac:dyDescent="0.3">
      <c r="A17" t="s">
        <v>59</v>
      </c>
      <c r="B17">
        <f>SUM(B4:B15)</f>
        <v>0</v>
      </c>
      <c r="C17">
        <f>SUM(C4:C15)</f>
        <v>0</v>
      </c>
      <c r="D17">
        <f>SUM(D4:D15)</f>
        <v>0</v>
      </c>
      <c r="E17">
        <f>SUM(E4:E15)</f>
        <v>0</v>
      </c>
    </row>
  </sheetData>
  <pageMargins left="0.7" right="0.7" top="0.75" bottom="0.75" header="0.3" footer="0.3"/>
  <ignoredErrors>
    <ignoredError sqref="A1:E1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/>
  </sheetViews>
  <sheetFormatPr defaultRowHeight="14.4" x14ac:dyDescent="0.3"/>
  <cols>
    <col min="1" max="1" width="30.796875" customWidth="1"/>
    <col min="2" max="6" width="15.796875" customWidth="1"/>
  </cols>
  <sheetData>
    <row r="1" spans="1:5" ht="15.6" x14ac:dyDescent="0.3">
      <c r="A1" t="s">
        <v>60</v>
      </c>
    </row>
    <row r="2" spans="1:5" ht="15.6" x14ac:dyDescent="0.3">
      <c r="A2" t="s">
        <v>61</v>
      </c>
    </row>
    <row r="3" spans="1:5" ht="15.6" x14ac:dyDescent="0.3">
      <c r="A3" t="s">
        <v>1</v>
      </c>
    </row>
    <row r="4" spans="1:5" ht="15.6" x14ac:dyDescent="0.3">
      <c r="A4" t="s">
        <v>62</v>
      </c>
    </row>
    <row r="5" spans="1:5" ht="15.6" x14ac:dyDescent="0.3">
      <c r="A5" t="s">
        <v>3</v>
      </c>
      <c r="B5" t="s">
        <v>4</v>
      </c>
    </row>
    <row r="6" spans="1:5" ht="15.6" x14ac:dyDescent="0.3">
      <c r="A6" t="s">
        <v>63</v>
      </c>
      <c r="B6">
        <v>2457000</v>
      </c>
    </row>
    <row r="7" spans="1:5" ht="15.6" x14ac:dyDescent="0.3">
      <c r="A7" t="s">
        <v>64</v>
      </c>
      <c r="B7">
        <v>469800</v>
      </c>
    </row>
    <row r="8" spans="1:5" ht="15.6" x14ac:dyDescent="0.3">
      <c r="A8" t="s">
        <v>65</v>
      </c>
      <c r="B8">
        <v>-1987200</v>
      </c>
    </row>
    <row r="9" spans="1:5" ht="15.6" x14ac:dyDescent="0.3">
      <c r="A9" t="s">
        <v>66</v>
      </c>
      <c r="B9">
        <v>1987200</v>
      </c>
    </row>
    <row r="10" spans="1:5" ht="15.6" x14ac:dyDescent="0.3">
      <c r="A10" t="s">
        <v>1</v>
      </c>
    </row>
    <row r="11" spans="1:5" ht="15.6" x14ac:dyDescent="0.3">
      <c r="A11" t="s">
        <v>67</v>
      </c>
    </row>
    <row r="12" spans="1:5" ht="15.6" x14ac:dyDescent="0.3">
      <c r="A12" t="s">
        <v>42</v>
      </c>
      <c r="B12" t="s">
        <v>68</v>
      </c>
      <c r="C12" t="s">
        <v>69</v>
      </c>
      <c r="D12" t="s">
        <v>70</v>
      </c>
      <c r="E12" t="s">
        <v>71</v>
      </c>
    </row>
    <row r="13" spans="1:5" ht="15.6" x14ac:dyDescent="0.3">
      <c r="A13" t="s">
        <v>72</v>
      </c>
      <c r="B13">
        <v>0</v>
      </c>
      <c r="C13">
        <v>895000</v>
      </c>
      <c r="D13">
        <v>-895000</v>
      </c>
      <c r="E13">
        <v>-895000</v>
      </c>
    </row>
    <row r="14" spans="1:5" ht="15.6" x14ac:dyDescent="0.3">
      <c r="A14" t="s">
        <v>73</v>
      </c>
      <c r="B14">
        <v>96400</v>
      </c>
      <c r="C14">
        <v>505000</v>
      </c>
      <c r="D14">
        <v>-408600</v>
      </c>
      <c r="E14">
        <v>-1303600</v>
      </c>
    </row>
    <row r="15" spans="1:5" ht="15.6" x14ac:dyDescent="0.3">
      <c r="A15" t="s">
        <v>74</v>
      </c>
      <c r="B15">
        <v>147200</v>
      </c>
      <c r="C15">
        <v>527000</v>
      </c>
      <c r="D15">
        <v>-379800</v>
      </c>
      <c r="E15">
        <v>-1683400</v>
      </c>
    </row>
    <row r="16" spans="1:5" ht="15.6" x14ac:dyDescent="0.3">
      <c r="A16" t="s">
        <v>75</v>
      </c>
      <c r="B16">
        <v>226200</v>
      </c>
      <c r="C16">
        <v>530000</v>
      </c>
      <c r="D16">
        <v>-303800</v>
      </c>
      <c r="E16">
        <v>-1987200</v>
      </c>
    </row>
    <row r="17" spans="1:5" ht="15.6" x14ac:dyDescent="0.3">
      <c r="A17" t="s">
        <v>76</v>
      </c>
      <c r="B17">
        <f>SUM(B13:B16)</f>
        <v>469800</v>
      </c>
      <c r="C17">
        <f>SUM(C13:C16)</f>
        <v>2457000</v>
      </c>
      <c r="D17">
        <f>SUM(D13:D16)</f>
        <v>-1987200</v>
      </c>
      <c r="E17">
        <f>E16</f>
        <v>-1987200</v>
      </c>
    </row>
    <row r="18" spans="1:5" ht="15.6" x14ac:dyDescent="0.3">
      <c r="A18" t="s">
        <v>1</v>
      </c>
    </row>
    <row r="19" spans="1:5" ht="15.6" x14ac:dyDescent="0.3">
      <c r="A19" t="s">
        <v>77</v>
      </c>
    </row>
    <row r="20" spans="1:5" ht="15.6" x14ac:dyDescent="0.3">
      <c r="A20" t="s">
        <v>78</v>
      </c>
      <c r="B20" t="s">
        <v>4</v>
      </c>
      <c r="C20" t="s">
        <v>79</v>
      </c>
    </row>
    <row r="21" spans="1:5" ht="15.6" x14ac:dyDescent="0.3">
      <c r="A21" t="s">
        <v>80</v>
      </c>
      <c r="B21">
        <v>1400000</v>
      </c>
      <c r="C21">
        <f>B21/B6</f>
        <v>0.56980056980056981</v>
      </c>
    </row>
    <row r="22" spans="1:5" ht="15.6" x14ac:dyDescent="0.3">
      <c r="A22" t="s">
        <v>81</v>
      </c>
      <c r="B22">
        <v>675000</v>
      </c>
      <c r="C22">
        <f>B22/B6</f>
        <v>0.27472527472527475</v>
      </c>
    </row>
    <row r="23" spans="1:5" ht="15.6" x14ac:dyDescent="0.3">
      <c r="A23" t="s">
        <v>43</v>
      </c>
      <c r="B23">
        <v>180000</v>
      </c>
      <c r="C23">
        <f>B23/B6</f>
        <v>7.3260073260073263E-2</v>
      </c>
    </row>
    <row r="24" spans="1:5" ht="15.6" x14ac:dyDescent="0.3">
      <c r="A24" t="s">
        <v>82</v>
      </c>
      <c r="B24">
        <v>85000</v>
      </c>
      <c r="C24">
        <f>B24/B6</f>
        <v>3.4595034595034595E-2</v>
      </c>
    </row>
    <row r="25" spans="1:5" ht="15.6" x14ac:dyDescent="0.3">
      <c r="A25" t="s">
        <v>9</v>
      </c>
      <c r="B25">
        <v>117000</v>
      </c>
      <c r="C25">
        <f>B25/B6</f>
        <v>4.7619047619047616E-2</v>
      </c>
    </row>
    <row r="26" spans="1:5" ht="15.6" x14ac:dyDescent="0.3">
      <c r="A26" t="s">
        <v>76</v>
      </c>
      <c r="B26">
        <f>SUM(B21:B25)</f>
        <v>2457000</v>
      </c>
      <c r="C26">
        <f>SUM(C21:C25)</f>
        <v>1</v>
      </c>
    </row>
    <row r="27" spans="1:5" ht="15.6" x14ac:dyDescent="0.3">
      <c r="A27" t="s">
        <v>1</v>
      </c>
    </row>
    <row r="28" spans="1:5" ht="15.6" x14ac:dyDescent="0.3">
      <c r="A28" t="s">
        <v>83</v>
      </c>
    </row>
    <row r="29" spans="1:5" ht="15.6" x14ac:dyDescent="0.3">
      <c r="A29" t="s">
        <v>84</v>
      </c>
      <c r="B29" t="s">
        <v>85</v>
      </c>
      <c r="C29" t="s">
        <v>86</v>
      </c>
    </row>
    <row r="30" spans="1:5" ht="15.6" x14ac:dyDescent="0.3">
      <c r="A30" t="s">
        <v>43</v>
      </c>
      <c r="B30">
        <v>183600</v>
      </c>
      <c r="C30">
        <f>B30/4</f>
        <v>45900</v>
      </c>
    </row>
    <row r="31" spans="1:5" ht="15.6" x14ac:dyDescent="0.3">
      <c r="A31" t="s">
        <v>87</v>
      </c>
      <c r="B31">
        <v>262400</v>
      </c>
      <c r="C31">
        <f>B31/4</f>
        <v>65600</v>
      </c>
    </row>
    <row r="32" spans="1:5" ht="15.6" x14ac:dyDescent="0.3">
      <c r="A32" t="s">
        <v>88</v>
      </c>
      <c r="B32">
        <v>245000</v>
      </c>
      <c r="C32">
        <f>B32/4</f>
        <v>61250</v>
      </c>
    </row>
    <row r="33" spans="1:3" ht="15.6" x14ac:dyDescent="0.3">
      <c r="A33" t="s">
        <v>76</v>
      </c>
      <c r="B33">
        <f>SUM(B30:B32)</f>
        <v>691000</v>
      </c>
      <c r="C33">
        <f>SUM(C30:C32)</f>
        <v>172750</v>
      </c>
    </row>
    <row r="34" spans="1:3" ht="15.6" x14ac:dyDescent="0.3">
      <c r="A34" t="s">
        <v>1</v>
      </c>
    </row>
    <row r="35" spans="1:3" ht="15.6" x14ac:dyDescent="0.3">
      <c r="A35" t="s">
        <v>89</v>
      </c>
    </row>
    <row r="36" spans="1:3" ht="15.6" x14ac:dyDescent="0.3">
      <c r="A36" t="s">
        <v>78</v>
      </c>
      <c r="B36" t="s">
        <v>90</v>
      </c>
      <c r="C36" t="s">
        <v>91</v>
      </c>
    </row>
    <row r="37" spans="1:3" ht="15.6" x14ac:dyDescent="0.3">
      <c r="A37" t="s">
        <v>92</v>
      </c>
      <c r="B37">
        <v>180000</v>
      </c>
      <c r="C37">
        <f t="shared" ref="C37:C49" si="0">B37*4</f>
        <v>720000</v>
      </c>
    </row>
    <row r="38" spans="1:3" ht="15.6" x14ac:dyDescent="0.3">
      <c r="A38" t="s">
        <v>93</v>
      </c>
      <c r="B38">
        <v>35000</v>
      </c>
      <c r="C38">
        <f t="shared" si="0"/>
        <v>140000</v>
      </c>
    </row>
    <row r="39" spans="1:3" ht="15.6" x14ac:dyDescent="0.3">
      <c r="A39" t="s">
        <v>94</v>
      </c>
      <c r="B39">
        <v>25000</v>
      </c>
      <c r="C39">
        <f t="shared" si="0"/>
        <v>100000</v>
      </c>
    </row>
    <row r="40" spans="1:3" ht="15.6" x14ac:dyDescent="0.3">
      <c r="A40" t="s">
        <v>95</v>
      </c>
      <c r="B40">
        <v>15000</v>
      </c>
      <c r="C40">
        <f t="shared" si="0"/>
        <v>60000</v>
      </c>
    </row>
    <row r="41" spans="1:3" ht="15.6" x14ac:dyDescent="0.3">
      <c r="A41" t="s">
        <v>96</v>
      </c>
      <c r="B41">
        <v>12000</v>
      </c>
      <c r="C41">
        <f t="shared" si="0"/>
        <v>48000</v>
      </c>
    </row>
    <row r="42" spans="1:3" ht="15.6" x14ac:dyDescent="0.3">
      <c r="A42" t="s">
        <v>97</v>
      </c>
      <c r="B42">
        <v>8000</v>
      </c>
      <c r="C42">
        <f t="shared" si="0"/>
        <v>32000</v>
      </c>
    </row>
    <row r="43" spans="1:3" ht="15.6" x14ac:dyDescent="0.3">
      <c r="A43" t="s">
        <v>98</v>
      </c>
      <c r="B43">
        <v>15000</v>
      </c>
      <c r="C43">
        <f t="shared" si="0"/>
        <v>60000</v>
      </c>
    </row>
    <row r="44" spans="1:3" ht="15.6" x14ac:dyDescent="0.3">
      <c r="A44" t="s">
        <v>99</v>
      </c>
      <c r="B44">
        <v>20000</v>
      </c>
      <c r="C44">
        <f t="shared" si="0"/>
        <v>80000</v>
      </c>
    </row>
    <row r="45" spans="1:3" ht="15.6" x14ac:dyDescent="0.3">
      <c r="A45" t="s">
        <v>100</v>
      </c>
      <c r="B45">
        <v>18000</v>
      </c>
      <c r="C45">
        <f t="shared" si="0"/>
        <v>72000</v>
      </c>
    </row>
    <row r="46" spans="1:3" ht="15.6" x14ac:dyDescent="0.3">
      <c r="A46" t="s">
        <v>101</v>
      </c>
      <c r="B46">
        <v>10000</v>
      </c>
      <c r="C46">
        <f t="shared" si="0"/>
        <v>40000</v>
      </c>
    </row>
    <row r="47" spans="1:3" ht="15.6" x14ac:dyDescent="0.3">
      <c r="A47" t="s">
        <v>102</v>
      </c>
      <c r="B47">
        <v>5000</v>
      </c>
      <c r="C47">
        <f t="shared" si="0"/>
        <v>20000</v>
      </c>
    </row>
    <row r="48" spans="1:3" ht="15.6" x14ac:dyDescent="0.3">
      <c r="A48" t="s">
        <v>103</v>
      </c>
      <c r="B48">
        <v>4000</v>
      </c>
      <c r="C48">
        <f t="shared" si="0"/>
        <v>16000</v>
      </c>
    </row>
    <row r="49" spans="1:6" ht="15.6" x14ac:dyDescent="0.3">
      <c r="A49" t="s">
        <v>104</v>
      </c>
      <c r="B49">
        <v>3000</v>
      </c>
      <c r="C49">
        <f t="shared" si="0"/>
        <v>12000</v>
      </c>
    </row>
    <row r="50" spans="1:6" ht="15.6" x14ac:dyDescent="0.3">
      <c r="A50" t="s">
        <v>76</v>
      </c>
      <c r="B50">
        <f>SUM(B37:B49)</f>
        <v>350000</v>
      </c>
      <c r="C50">
        <f>SUM(C37:C49)</f>
        <v>1400000</v>
      </c>
    </row>
    <row r="51" spans="1:6" ht="15.6" x14ac:dyDescent="0.3">
      <c r="A51" t="s">
        <v>1</v>
      </c>
    </row>
    <row r="52" spans="1:6" ht="15.6" x14ac:dyDescent="0.3">
      <c r="A52" t="s">
        <v>105</v>
      </c>
    </row>
    <row r="53" spans="1:6" ht="15.6" x14ac:dyDescent="0.3">
      <c r="A53" t="s">
        <v>78</v>
      </c>
      <c r="B53" t="s">
        <v>72</v>
      </c>
      <c r="C53" t="s">
        <v>73</v>
      </c>
      <c r="D53" t="s">
        <v>74</v>
      </c>
      <c r="E53" t="s">
        <v>75</v>
      </c>
      <c r="F53">
        <f t="shared" ref="F53:F65" si="1">SUM(B53:E53)</f>
        <v>0</v>
      </c>
    </row>
    <row r="54" spans="1:6" ht="15.6" x14ac:dyDescent="0.3">
      <c r="A54" t="s">
        <v>106</v>
      </c>
      <c r="B54">
        <v>150000</v>
      </c>
      <c r="C54">
        <v>0</v>
      </c>
      <c r="D54">
        <v>0</v>
      </c>
      <c r="E54">
        <v>0</v>
      </c>
      <c r="F54">
        <f t="shared" si="1"/>
        <v>150000</v>
      </c>
    </row>
    <row r="55" spans="1:6" ht="15.6" x14ac:dyDescent="0.3">
      <c r="A55" t="s">
        <v>107</v>
      </c>
      <c r="B55">
        <v>180000</v>
      </c>
      <c r="C55">
        <v>0</v>
      </c>
      <c r="D55">
        <v>0</v>
      </c>
      <c r="E55">
        <v>0</v>
      </c>
      <c r="F55">
        <f t="shared" si="1"/>
        <v>180000</v>
      </c>
    </row>
    <row r="56" spans="1:6" ht="15.6" x14ac:dyDescent="0.3">
      <c r="A56" t="s">
        <v>108</v>
      </c>
      <c r="B56">
        <v>80000</v>
      </c>
      <c r="C56">
        <v>0</v>
      </c>
      <c r="D56">
        <v>0</v>
      </c>
      <c r="E56">
        <v>0</v>
      </c>
      <c r="F56">
        <f t="shared" si="1"/>
        <v>80000</v>
      </c>
    </row>
    <row r="57" spans="1:6" ht="15.6" x14ac:dyDescent="0.3">
      <c r="A57" t="s">
        <v>109</v>
      </c>
      <c r="B57">
        <v>35000</v>
      </c>
      <c r="C57">
        <v>0</v>
      </c>
      <c r="D57">
        <v>0</v>
      </c>
      <c r="E57">
        <v>0</v>
      </c>
      <c r="F57">
        <f t="shared" si="1"/>
        <v>35000</v>
      </c>
    </row>
    <row r="58" spans="1:6" ht="15.6" x14ac:dyDescent="0.3">
      <c r="A58" t="s">
        <v>110</v>
      </c>
      <c r="B58">
        <v>25000</v>
      </c>
      <c r="C58">
        <v>12000</v>
      </c>
      <c r="D58">
        <v>10000</v>
      </c>
      <c r="E58">
        <v>15000</v>
      </c>
      <c r="F58">
        <f t="shared" si="1"/>
        <v>62000</v>
      </c>
    </row>
    <row r="59" spans="1:6" ht="15.6" x14ac:dyDescent="0.3">
      <c r="A59" t="s">
        <v>111</v>
      </c>
      <c r="B59">
        <v>15000</v>
      </c>
      <c r="C59">
        <v>0</v>
      </c>
      <c r="D59">
        <v>0</v>
      </c>
      <c r="E59">
        <v>0</v>
      </c>
      <c r="F59">
        <f t="shared" si="1"/>
        <v>15000</v>
      </c>
    </row>
    <row r="60" spans="1:6" ht="15.6" x14ac:dyDescent="0.3">
      <c r="A60" t="s">
        <v>112</v>
      </c>
      <c r="B60">
        <v>10000</v>
      </c>
      <c r="C60">
        <v>0</v>
      </c>
      <c r="D60">
        <v>0</v>
      </c>
      <c r="E60">
        <v>0</v>
      </c>
      <c r="F60">
        <f t="shared" si="1"/>
        <v>10000</v>
      </c>
    </row>
    <row r="61" spans="1:6" ht="15.6" x14ac:dyDescent="0.3">
      <c r="A61" t="s">
        <v>93</v>
      </c>
      <c r="B61">
        <v>0</v>
      </c>
      <c r="C61">
        <v>50000</v>
      </c>
      <c r="D61">
        <v>50000</v>
      </c>
      <c r="E61">
        <v>50000</v>
      </c>
      <c r="F61">
        <f t="shared" si="1"/>
        <v>150000</v>
      </c>
    </row>
    <row r="62" spans="1:6" ht="15.6" x14ac:dyDescent="0.3">
      <c r="A62" t="s">
        <v>92</v>
      </c>
      <c r="B62">
        <v>0</v>
      </c>
      <c r="C62">
        <v>75000</v>
      </c>
      <c r="D62">
        <v>100000</v>
      </c>
      <c r="E62">
        <v>125000</v>
      </c>
      <c r="F62">
        <f t="shared" si="1"/>
        <v>300000</v>
      </c>
    </row>
    <row r="63" spans="1:6" ht="15.6" x14ac:dyDescent="0.3">
      <c r="A63" t="s">
        <v>113</v>
      </c>
      <c r="B63">
        <v>0</v>
      </c>
      <c r="C63">
        <v>15000</v>
      </c>
      <c r="D63">
        <v>18000</v>
      </c>
      <c r="E63">
        <v>20000</v>
      </c>
      <c r="F63">
        <f t="shared" si="1"/>
        <v>53000</v>
      </c>
    </row>
    <row r="64" spans="1:6" ht="15.6" x14ac:dyDescent="0.3">
      <c r="A64" t="s">
        <v>114</v>
      </c>
      <c r="B64">
        <v>0</v>
      </c>
      <c r="C64">
        <v>8000</v>
      </c>
      <c r="D64">
        <v>10000</v>
      </c>
      <c r="E64">
        <v>12000</v>
      </c>
      <c r="F64">
        <f t="shared" si="1"/>
        <v>30000</v>
      </c>
    </row>
    <row r="65" spans="1:6" ht="15.6" x14ac:dyDescent="0.3">
      <c r="A65" t="s">
        <v>115</v>
      </c>
      <c r="B65">
        <v>0</v>
      </c>
      <c r="C65">
        <v>10000</v>
      </c>
      <c r="D65">
        <v>12000</v>
      </c>
      <c r="E65">
        <v>15000</v>
      </c>
      <c r="F65">
        <f t="shared" si="1"/>
        <v>37000</v>
      </c>
    </row>
    <row r="66" spans="1:6" ht="15.6" x14ac:dyDescent="0.3">
      <c r="A66" t="s">
        <v>116</v>
      </c>
      <c r="B66">
        <f>SUM(B53:B65)</f>
        <v>495000</v>
      </c>
      <c r="C66">
        <f>SUM(C53:C65)</f>
        <v>170000</v>
      </c>
      <c r="D66">
        <f>SUM(D53:D65)</f>
        <v>200000</v>
      </c>
      <c r="E66">
        <f>SUM(E53:E65)</f>
        <v>237000</v>
      </c>
      <c r="F66">
        <f>SUM(F53:F65)</f>
        <v>1102000</v>
      </c>
    </row>
    <row r="67" spans="1:6" ht="15.6" x14ac:dyDescent="0.3">
      <c r="A67" t="s">
        <v>76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ht="15.6" x14ac:dyDescent="0.3">
      <c r="A68" t="s">
        <v>1</v>
      </c>
    </row>
    <row r="69" spans="1:6" ht="15.6" x14ac:dyDescent="0.3">
      <c r="A69" t="s">
        <v>117</v>
      </c>
      <c r="E69">
        <f t="shared" ref="E69:E78" si="2">B69+D69</f>
        <v>0</v>
      </c>
    </row>
    <row r="70" spans="1:6" ht="15.6" x14ac:dyDescent="0.3">
      <c r="A70" t="s">
        <v>78</v>
      </c>
      <c r="B70" t="s">
        <v>72</v>
      </c>
      <c r="C70" t="s">
        <v>118</v>
      </c>
      <c r="D70" t="s">
        <v>119</v>
      </c>
      <c r="E70" t="e">
        <f t="shared" si="2"/>
        <v>#VALUE!</v>
      </c>
    </row>
    <row r="71" spans="1:6" ht="15.6" x14ac:dyDescent="0.3">
      <c r="A71" t="s">
        <v>29</v>
      </c>
      <c r="B71">
        <v>25000</v>
      </c>
      <c r="C71">
        <v>0</v>
      </c>
      <c r="D71">
        <f>C71*3</f>
        <v>0</v>
      </c>
      <c r="E71">
        <f t="shared" si="2"/>
        <v>25000</v>
      </c>
    </row>
    <row r="72" spans="1:6" ht="15.6" x14ac:dyDescent="0.3">
      <c r="A72" t="s">
        <v>120</v>
      </c>
      <c r="B72">
        <v>15000</v>
      </c>
      <c r="C72">
        <v>0</v>
      </c>
      <c r="D72">
        <v>0</v>
      </c>
      <c r="E72">
        <f t="shared" si="2"/>
        <v>15000</v>
      </c>
    </row>
    <row r="73" spans="1:6" ht="15.6" x14ac:dyDescent="0.3">
      <c r="A73" t="s">
        <v>8</v>
      </c>
      <c r="B73">
        <v>10000</v>
      </c>
      <c r="C73">
        <v>8000</v>
      </c>
      <c r="D73">
        <v>0</v>
      </c>
      <c r="E73">
        <f t="shared" si="2"/>
        <v>10000</v>
      </c>
    </row>
    <row r="74" spans="1:6" ht="15.6" x14ac:dyDescent="0.3">
      <c r="A74" t="s">
        <v>121</v>
      </c>
      <c r="B74">
        <v>8000</v>
      </c>
      <c r="C74">
        <v>0</v>
      </c>
      <c r="D74">
        <f>C74*3</f>
        <v>0</v>
      </c>
      <c r="E74">
        <f t="shared" si="2"/>
        <v>8000</v>
      </c>
    </row>
    <row r="75" spans="1:6" ht="15.6" x14ac:dyDescent="0.3">
      <c r="A75" t="s">
        <v>6</v>
      </c>
      <c r="B75">
        <v>12000</v>
      </c>
      <c r="C75">
        <v>0</v>
      </c>
      <c r="D75">
        <f>C75*3</f>
        <v>0</v>
      </c>
      <c r="E75">
        <f t="shared" si="2"/>
        <v>12000</v>
      </c>
    </row>
    <row r="76" spans="1:6" ht="15.6" x14ac:dyDescent="0.3">
      <c r="A76" t="s">
        <v>122</v>
      </c>
      <c r="B76">
        <v>0</v>
      </c>
      <c r="C76">
        <v>15000</v>
      </c>
      <c r="D76">
        <f>C76*3</f>
        <v>45000</v>
      </c>
      <c r="E76">
        <f t="shared" si="2"/>
        <v>45000</v>
      </c>
    </row>
    <row r="77" spans="1:6" ht="15.6" x14ac:dyDescent="0.3">
      <c r="A77" t="s">
        <v>123</v>
      </c>
      <c r="B77">
        <v>0</v>
      </c>
      <c r="C77">
        <v>5000</v>
      </c>
      <c r="D77">
        <f>C77*3</f>
        <v>15000</v>
      </c>
      <c r="E77">
        <f t="shared" si="2"/>
        <v>15000</v>
      </c>
    </row>
    <row r="78" spans="1:6" ht="15.6" x14ac:dyDescent="0.3">
      <c r="A78" t="s">
        <v>124</v>
      </c>
      <c r="B78">
        <v>0</v>
      </c>
      <c r="C78">
        <v>2000</v>
      </c>
      <c r="D78">
        <f>C78*3</f>
        <v>6000</v>
      </c>
      <c r="E78">
        <f t="shared" si="2"/>
        <v>6000</v>
      </c>
    </row>
    <row r="79" spans="1:6" ht="15.6" x14ac:dyDescent="0.3">
      <c r="A79" t="s">
        <v>125</v>
      </c>
      <c r="B79">
        <f>SUM(B69:B78)</f>
        <v>70000</v>
      </c>
      <c r="C79">
        <f>SUM(C69:C78)</f>
        <v>30000</v>
      </c>
      <c r="D79">
        <f>SUM(D69:D78)</f>
        <v>66000</v>
      </c>
      <c r="E79" t="e">
        <f>SUM(E69:E78)</f>
        <v>#VALUE!</v>
      </c>
    </row>
    <row r="80" spans="1:6" ht="15.6" x14ac:dyDescent="0.3">
      <c r="A80" t="s">
        <v>126</v>
      </c>
      <c r="B80">
        <v>0</v>
      </c>
      <c r="C80">
        <v>4000</v>
      </c>
      <c r="D80">
        <v>0</v>
      </c>
      <c r="E80">
        <v>0</v>
      </c>
    </row>
    <row r="81" spans="1:5" ht="15.6" x14ac:dyDescent="0.3">
      <c r="A81" t="s">
        <v>76</v>
      </c>
      <c r="B81">
        <v>0</v>
      </c>
      <c r="C81">
        <v>0</v>
      </c>
      <c r="D81">
        <v>0</v>
      </c>
      <c r="E81">
        <v>0</v>
      </c>
    </row>
    <row r="82" spans="1:5" ht="15.6" x14ac:dyDescent="0.3">
      <c r="A82" t="s">
        <v>1</v>
      </c>
    </row>
    <row r="83" spans="1:5" ht="15.6" x14ac:dyDescent="0.3">
      <c r="A83" t="s">
        <v>127</v>
      </c>
    </row>
    <row r="84" spans="1:5" ht="15.6" x14ac:dyDescent="0.3">
      <c r="A84" t="s">
        <v>128</v>
      </c>
      <c r="B84">
        <f>SUM(B82:B83)</f>
        <v>0</v>
      </c>
      <c r="C84" t="s">
        <v>129</v>
      </c>
    </row>
    <row r="85" spans="1:5" ht="15.6" x14ac:dyDescent="0.3">
      <c r="A85" t="s">
        <v>130</v>
      </c>
      <c r="B85">
        <v>60000</v>
      </c>
      <c r="C85" t="s">
        <v>131</v>
      </c>
    </row>
    <row r="86" spans="1:5" ht="15.6" x14ac:dyDescent="0.3">
      <c r="A86" t="s">
        <v>132</v>
      </c>
      <c r="B86">
        <v>25000</v>
      </c>
      <c r="C86" t="s">
        <v>133</v>
      </c>
    </row>
    <row r="87" spans="1:5" ht="15.6" x14ac:dyDescent="0.3">
      <c r="A87" t="s">
        <v>76</v>
      </c>
      <c r="B87">
        <v>0</v>
      </c>
      <c r="C87" t="s">
        <v>1</v>
      </c>
    </row>
    <row r="88" spans="1:5" ht="15.6" x14ac:dyDescent="0.3">
      <c r="A88" t="s">
        <v>1</v>
      </c>
    </row>
    <row r="89" spans="1:5" ht="15.6" x14ac:dyDescent="0.3">
      <c r="A89" t="s">
        <v>134</v>
      </c>
    </row>
    <row r="90" spans="1:5" ht="15.6" x14ac:dyDescent="0.3">
      <c r="A90" t="s">
        <v>135</v>
      </c>
      <c r="B90" t="s">
        <v>136</v>
      </c>
      <c r="C90" t="s">
        <v>137</v>
      </c>
    </row>
    <row r="91" spans="1:5" ht="15.6" x14ac:dyDescent="0.3">
      <c r="A91" t="s">
        <v>138</v>
      </c>
      <c r="B91" t="s">
        <v>139</v>
      </c>
      <c r="C91" t="s">
        <v>140</v>
      </c>
    </row>
    <row r="92" spans="1:5" ht="15.6" x14ac:dyDescent="0.3">
      <c r="A92" t="s">
        <v>141</v>
      </c>
      <c r="B92" t="s">
        <v>142</v>
      </c>
      <c r="C92" t="s">
        <v>143</v>
      </c>
    </row>
    <row r="93" spans="1:5" ht="15.6" x14ac:dyDescent="0.3">
      <c r="A93" t="s">
        <v>144</v>
      </c>
      <c r="B93" t="s">
        <v>145</v>
      </c>
      <c r="C93" t="s">
        <v>146</v>
      </c>
    </row>
    <row r="94" spans="1:5" ht="15.6" x14ac:dyDescent="0.3">
      <c r="A94" t="s">
        <v>147</v>
      </c>
      <c r="B94" t="s">
        <v>148</v>
      </c>
      <c r="C94" t="s">
        <v>149</v>
      </c>
    </row>
    <row r="95" spans="1:5" ht="15.6" x14ac:dyDescent="0.3">
      <c r="A95" t="s">
        <v>150</v>
      </c>
      <c r="B95" t="s">
        <v>151</v>
      </c>
      <c r="C95" t="s">
        <v>152</v>
      </c>
    </row>
    <row r="96" spans="1:5" ht="15.6" x14ac:dyDescent="0.3">
      <c r="A96" t="s">
        <v>153</v>
      </c>
      <c r="B96" t="s">
        <v>154</v>
      </c>
      <c r="C96" t="s">
        <v>72</v>
      </c>
    </row>
    <row r="97" spans="1:3" ht="15.6" x14ac:dyDescent="0.3">
      <c r="A97" t="s">
        <v>155</v>
      </c>
      <c r="B97" t="s">
        <v>156</v>
      </c>
      <c r="C97" t="s">
        <v>157</v>
      </c>
    </row>
    <row r="98" spans="1:3" ht="15.6" x14ac:dyDescent="0.3">
      <c r="A98" t="s">
        <v>158</v>
      </c>
      <c r="B98" t="s">
        <v>159</v>
      </c>
      <c r="C98" t="e">
        <f>B98/$B$102</f>
        <v>#VALUE!</v>
      </c>
    </row>
    <row r="99" spans="1:3" ht="15.6" x14ac:dyDescent="0.3">
      <c r="A99" t="s">
        <v>1</v>
      </c>
      <c r="C99" t="e">
        <f>B99/$B$102</f>
        <v>#DIV/0!</v>
      </c>
    </row>
    <row r="100" spans="1:3" ht="15.6" x14ac:dyDescent="0.3">
      <c r="A100" t="s">
        <v>160</v>
      </c>
      <c r="C100" t="e">
        <f>B100/$B$102</f>
        <v>#DIV/0!</v>
      </c>
    </row>
    <row r="101" spans="1:3" ht="15.6" x14ac:dyDescent="0.3">
      <c r="A101" t="s">
        <v>12</v>
      </c>
      <c r="B101" t="s">
        <v>4</v>
      </c>
      <c r="C101" t="e">
        <f>B101/$B$102</f>
        <v>#VALUE!</v>
      </c>
    </row>
    <row r="102" spans="1:3" ht="15.6" x14ac:dyDescent="0.3">
      <c r="A102" t="s">
        <v>161</v>
      </c>
      <c r="B102">
        <f>SUM(B98:B101)</f>
        <v>0</v>
      </c>
      <c r="C102" t="e">
        <f>SUM(C98:C101)</f>
        <v>#VALUE!</v>
      </c>
    </row>
    <row r="103" spans="1:3" ht="15.6" x14ac:dyDescent="0.3">
      <c r="A103" t="s">
        <v>162</v>
      </c>
      <c r="B103">
        <v>350000</v>
      </c>
      <c r="C103">
        <v>0</v>
      </c>
    </row>
    <row r="104" spans="1:3" ht="15.6" x14ac:dyDescent="0.3">
      <c r="A104" t="s">
        <v>163</v>
      </c>
      <c r="B104">
        <v>200000</v>
      </c>
      <c r="C104">
        <v>0</v>
      </c>
    </row>
    <row r="105" spans="1:3" ht="15.6" x14ac:dyDescent="0.3">
      <c r="A105" t="s">
        <v>164</v>
      </c>
      <c r="B105">
        <v>37200</v>
      </c>
      <c r="C105">
        <v>0</v>
      </c>
    </row>
    <row r="106" spans="1:3" ht="15.6" x14ac:dyDescent="0.3">
      <c r="A106" t="s">
        <v>165</v>
      </c>
      <c r="B106">
        <v>0</v>
      </c>
      <c r="C106">
        <v>0</v>
      </c>
    </row>
    <row r="107" spans="1:3" ht="15.6" x14ac:dyDescent="0.3">
      <c r="A107" t="s">
        <v>1</v>
      </c>
    </row>
    <row r="108" spans="1:3" ht="15.6" x14ac:dyDescent="0.3">
      <c r="A108" t="s">
        <v>166</v>
      </c>
    </row>
    <row r="109" spans="1:3" ht="15.6" x14ac:dyDescent="0.3">
      <c r="A109" t="s">
        <v>167</v>
      </c>
      <c r="B109" t="s">
        <v>168</v>
      </c>
      <c r="C109" t="s">
        <v>169</v>
      </c>
    </row>
    <row r="110" spans="1:3" ht="15.6" x14ac:dyDescent="0.3">
      <c r="A110" t="s">
        <v>170</v>
      </c>
      <c r="B110" t="s">
        <v>171</v>
      </c>
      <c r="C110" t="s">
        <v>172</v>
      </c>
    </row>
    <row r="111" spans="1:3" ht="15.6" x14ac:dyDescent="0.3">
      <c r="A111" t="s">
        <v>173</v>
      </c>
      <c r="B111" t="s">
        <v>174</v>
      </c>
      <c r="C111" t="s">
        <v>175</v>
      </c>
    </row>
    <row r="112" spans="1:3" ht="15.6" x14ac:dyDescent="0.3">
      <c r="A112" t="s">
        <v>176</v>
      </c>
      <c r="B112" t="s">
        <v>177</v>
      </c>
      <c r="C112" t="s">
        <v>175</v>
      </c>
    </row>
    <row r="113" spans="1:3" ht="15.6" x14ac:dyDescent="0.3">
      <c r="A113" t="s">
        <v>178</v>
      </c>
      <c r="B113" t="s">
        <v>179</v>
      </c>
      <c r="C113" t="s">
        <v>175</v>
      </c>
    </row>
    <row r="114" spans="1:3" ht="15.6" x14ac:dyDescent="0.3">
      <c r="A114" t="s">
        <v>180</v>
      </c>
      <c r="B114" t="s">
        <v>171</v>
      </c>
      <c r="C114" t="s">
        <v>181</v>
      </c>
    </row>
  </sheetData>
  <pageMargins left="0.7" right="0.7" top="0.75" bottom="0.75" header="0.3" footer="0.3"/>
  <ignoredErrors>
    <ignoredError sqref="A1:F11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19"/>
  <sheetViews>
    <sheetView workbookViewId="0"/>
  </sheetViews>
  <sheetFormatPr defaultRowHeight="14.4" x14ac:dyDescent="0.3"/>
  <cols>
    <col min="1" max="1" width="30.796875" customWidth="1"/>
    <col min="2" max="7" width="15.796875" customWidth="1"/>
  </cols>
  <sheetData>
    <row r="1" spans="1:5" ht="15.6" x14ac:dyDescent="0.3">
      <c r="A1" t="s">
        <v>182</v>
      </c>
    </row>
    <row r="2" spans="1:5" ht="15.6" x14ac:dyDescent="0.3">
      <c r="A2" t="s">
        <v>183</v>
      </c>
    </row>
    <row r="3" spans="1:5" ht="15.6" x14ac:dyDescent="0.3">
      <c r="A3" t="s">
        <v>1</v>
      </c>
    </row>
    <row r="4" spans="1:5" ht="15.6" x14ac:dyDescent="0.3">
      <c r="A4" t="s">
        <v>62</v>
      </c>
    </row>
    <row r="5" spans="1:5" ht="15.6" x14ac:dyDescent="0.3">
      <c r="A5" t="s">
        <v>3</v>
      </c>
      <c r="B5" t="s">
        <v>4</v>
      </c>
    </row>
    <row r="6" spans="1:5" ht="15.6" x14ac:dyDescent="0.3">
      <c r="A6" t="s">
        <v>184</v>
      </c>
      <c r="B6">
        <v>7350000</v>
      </c>
    </row>
    <row r="7" spans="1:5" ht="15.6" x14ac:dyDescent="0.3">
      <c r="A7" t="s">
        <v>64</v>
      </c>
      <c r="B7">
        <v>8430075</v>
      </c>
    </row>
    <row r="8" spans="1:5" ht="15.6" x14ac:dyDescent="0.3">
      <c r="A8" t="s">
        <v>185</v>
      </c>
      <c r="B8">
        <v>1080075</v>
      </c>
    </row>
    <row r="9" spans="1:5" ht="15.6" x14ac:dyDescent="0.3">
      <c r="A9" t="s">
        <v>186</v>
      </c>
      <c r="B9" t="s">
        <v>187</v>
      </c>
    </row>
    <row r="10" spans="1:5" ht="15.6" x14ac:dyDescent="0.3">
      <c r="A10" t="s">
        <v>1</v>
      </c>
    </row>
    <row r="11" spans="1:5" ht="15.6" x14ac:dyDescent="0.3">
      <c r="A11" t="s">
        <v>188</v>
      </c>
    </row>
    <row r="12" spans="1:5" ht="15.6" x14ac:dyDescent="0.3">
      <c r="A12" t="s">
        <v>189</v>
      </c>
      <c r="B12" t="s">
        <v>68</v>
      </c>
      <c r="C12" t="s">
        <v>190</v>
      </c>
      <c r="D12" t="s">
        <v>191</v>
      </c>
      <c r="E12" t="s">
        <v>71</v>
      </c>
    </row>
    <row r="13" spans="1:5" ht="15.6" x14ac:dyDescent="0.3">
      <c r="A13" t="s">
        <v>192</v>
      </c>
      <c r="B13">
        <v>1124350</v>
      </c>
      <c r="C13">
        <v>1969000</v>
      </c>
      <c r="D13">
        <v>-844650</v>
      </c>
      <c r="E13">
        <v>-2831500</v>
      </c>
    </row>
    <row r="14" spans="1:5" ht="15.6" x14ac:dyDescent="0.3">
      <c r="A14" t="s">
        <v>193</v>
      </c>
      <c r="B14">
        <v>1698925</v>
      </c>
      <c r="C14">
        <v>2130000</v>
      </c>
      <c r="D14">
        <v>-431075</v>
      </c>
      <c r="E14">
        <v>-3262575</v>
      </c>
    </row>
    <row r="15" spans="1:5" ht="15.6" x14ac:dyDescent="0.3">
      <c r="A15" t="s">
        <v>194</v>
      </c>
      <c r="B15">
        <v>2406750</v>
      </c>
      <c r="C15">
        <v>2289000</v>
      </c>
      <c r="D15">
        <v>117750</v>
      </c>
      <c r="E15">
        <v>-3144825</v>
      </c>
    </row>
    <row r="16" spans="1:5" ht="15.6" x14ac:dyDescent="0.3">
      <c r="A16" t="s">
        <v>195</v>
      </c>
      <c r="B16">
        <v>2762400</v>
      </c>
      <c r="C16">
        <v>2607000</v>
      </c>
      <c r="D16">
        <v>155400</v>
      </c>
      <c r="E16">
        <v>-2989425</v>
      </c>
    </row>
    <row r="17" spans="1:5" ht="15.6" x14ac:dyDescent="0.3">
      <c r="A17" t="s">
        <v>196</v>
      </c>
      <c r="B17">
        <f>SUM(B13:B16)</f>
        <v>7992425</v>
      </c>
      <c r="C17">
        <f>SUM(C13:C16)</f>
        <v>8995000</v>
      </c>
      <c r="D17">
        <f>SUM(D13:D16)</f>
        <v>-1002575</v>
      </c>
      <c r="E17">
        <f>E16</f>
        <v>-2989425</v>
      </c>
    </row>
    <row r="18" spans="1:5" ht="15.6" x14ac:dyDescent="0.3">
      <c r="A18" t="s">
        <v>1</v>
      </c>
    </row>
    <row r="19" spans="1:5" ht="15.6" x14ac:dyDescent="0.3">
      <c r="A19" t="s">
        <v>197</v>
      </c>
    </row>
    <row r="20" spans="1:5" ht="15.6" x14ac:dyDescent="0.3">
      <c r="A20" t="s">
        <v>42</v>
      </c>
      <c r="B20" t="s">
        <v>43</v>
      </c>
      <c r="C20" t="s">
        <v>45</v>
      </c>
      <c r="D20" t="s">
        <v>46</v>
      </c>
    </row>
    <row r="21" spans="1:5" ht="15.6" x14ac:dyDescent="0.3">
      <c r="A21" t="s">
        <v>198</v>
      </c>
      <c r="B21">
        <v>61200</v>
      </c>
      <c r="C21">
        <v>202200</v>
      </c>
      <c r="D21">
        <f t="shared" ref="D21:D32" si="0">B21+C21</f>
        <v>263400</v>
      </c>
    </row>
    <row r="22" spans="1:5" ht="15.6" x14ac:dyDescent="0.3">
      <c r="A22" t="s">
        <v>199</v>
      </c>
      <c r="B22">
        <v>140775</v>
      </c>
      <c r="C22">
        <v>266600</v>
      </c>
      <c r="D22">
        <f t="shared" si="0"/>
        <v>407375</v>
      </c>
    </row>
    <row r="23" spans="1:5" ht="15.6" x14ac:dyDescent="0.3">
      <c r="A23" t="s">
        <v>200</v>
      </c>
      <c r="B23">
        <v>140775</v>
      </c>
      <c r="C23">
        <v>312800</v>
      </c>
      <c r="D23">
        <f t="shared" si="0"/>
        <v>453575</v>
      </c>
    </row>
    <row r="24" spans="1:5" ht="15.6" x14ac:dyDescent="0.3">
      <c r="A24" t="s">
        <v>201</v>
      </c>
      <c r="B24">
        <v>140775</v>
      </c>
      <c r="C24">
        <v>378000</v>
      </c>
      <c r="D24">
        <f t="shared" si="0"/>
        <v>518775</v>
      </c>
    </row>
    <row r="25" spans="1:5" ht="15.6" x14ac:dyDescent="0.3">
      <c r="A25" t="s">
        <v>202</v>
      </c>
      <c r="B25">
        <v>140775</v>
      </c>
      <c r="C25">
        <v>423200</v>
      </c>
      <c r="D25">
        <f t="shared" si="0"/>
        <v>563975</v>
      </c>
    </row>
    <row r="26" spans="1:5" ht="15.6" x14ac:dyDescent="0.3">
      <c r="A26" t="s">
        <v>203</v>
      </c>
      <c r="B26">
        <v>140775</v>
      </c>
      <c r="C26">
        <v>475400</v>
      </c>
      <c r="D26">
        <f t="shared" si="0"/>
        <v>616175</v>
      </c>
    </row>
    <row r="27" spans="1:5" ht="15.6" x14ac:dyDescent="0.3">
      <c r="A27" t="s">
        <v>204</v>
      </c>
      <c r="B27">
        <v>140775</v>
      </c>
      <c r="C27">
        <v>509600</v>
      </c>
      <c r="D27">
        <f t="shared" si="0"/>
        <v>650375</v>
      </c>
    </row>
    <row r="28" spans="1:5" ht="15.6" x14ac:dyDescent="0.3">
      <c r="A28" t="s">
        <v>205</v>
      </c>
      <c r="B28">
        <v>140775</v>
      </c>
      <c r="C28">
        <v>541400</v>
      </c>
      <c r="D28">
        <f t="shared" si="0"/>
        <v>682175</v>
      </c>
    </row>
    <row r="29" spans="1:5" ht="15.6" x14ac:dyDescent="0.3">
      <c r="A29" t="s">
        <v>206</v>
      </c>
      <c r="B29">
        <v>500200</v>
      </c>
      <c r="C29">
        <v>574000</v>
      </c>
      <c r="D29">
        <f t="shared" si="0"/>
        <v>1074200</v>
      </c>
    </row>
    <row r="30" spans="1:5" ht="15.6" x14ac:dyDescent="0.3">
      <c r="A30" t="s">
        <v>207</v>
      </c>
      <c r="B30">
        <v>500200</v>
      </c>
      <c r="C30">
        <v>580200</v>
      </c>
      <c r="D30">
        <f t="shared" si="0"/>
        <v>1080400</v>
      </c>
    </row>
    <row r="31" spans="1:5" ht="15.6" x14ac:dyDescent="0.3">
      <c r="A31" t="s">
        <v>208</v>
      </c>
      <c r="B31">
        <v>256300</v>
      </c>
      <c r="C31">
        <v>583200</v>
      </c>
      <c r="D31">
        <f t="shared" si="0"/>
        <v>839500</v>
      </c>
    </row>
    <row r="32" spans="1:5" ht="15.6" x14ac:dyDescent="0.3">
      <c r="A32" t="s">
        <v>209</v>
      </c>
      <c r="B32">
        <v>256300</v>
      </c>
      <c r="C32">
        <v>586200</v>
      </c>
      <c r="D32">
        <f t="shared" si="0"/>
        <v>842500</v>
      </c>
    </row>
    <row r="33" spans="1:4" ht="15.6" x14ac:dyDescent="0.3">
      <c r="A33" t="s">
        <v>76</v>
      </c>
      <c r="B33">
        <f>SUM(B21:B32)</f>
        <v>2559625</v>
      </c>
      <c r="C33">
        <f>SUM(C21:C32)</f>
        <v>5432800</v>
      </c>
      <c r="D33">
        <f>SUM(D21:D32)</f>
        <v>7992425</v>
      </c>
    </row>
    <row r="34" spans="1:4" ht="15.6" x14ac:dyDescent="0.3">
      <c r="A34" t="s">
        <v>1</v>
      </c>
    </row>
    <row r="35" spans="1:4" ht="15.6" x14ac:dyDescent="0.3">
      <c r="A35" t="s">
        <v>210</v>
      </c>
    </row>
    <row r="36" spans="1:4" ht="15.6" x14ac:dyDescent="0.3">
      <c r="A36" t="s">
        <v>78</v>
      </c>
      <c r="B36" t="s">
        <v>211</v>
      </c>
      <c r="C36" t="s">
        <v>79</v>
      </c>
      <c r="D36" t="s">
        <v>86</v>
      </c>
    </row>
    <row r="37" spans="1:4" ht="15.6" x14ac:dyDescent="0.3">
      <c r="A37" t="s">
        <v>80</v>
      </c>
      <c r="B37">
        <v>3360000</v>
      </c>
      <c r="C37">
        <f>B37/$B$42</f>
        <v>0.42639593908629442</v>
      </c>
      <c r="D37">
        <f>B37/12</f>
        <v>280000</v>
      </c>
    </row>
    <row r="38" spans="1:4" ht="15.6" x14ac:dyDescent="0.3">
      <c r="A38" t="s">
        <v>87</v>
      </c>
      <c r="B38">
        <v>2730000</v>
      </c>
      <c r="C38">
        <f>B38/$B$42</f>
        <v>0.34644670050761422</v>
      </c>
      <c r="D38">
        <f>B38/12</f>
        <v>227500</v>
      </c>
    </row>
    <row r="39" spans="1:4" ht="15.6" x14ac:dyDescent="0.3">
      <c r="A39" t="s">
        <v>43</v>
      </c>
      <c r="B39">
        <v>1260000</v>
      </c>
      <c r="C39">
        <f>B39/$B$42</f>
        <v>0.15989847715736041</v>
      </c>
      <c r="D39">
        <f>B39/12</f>
        <v>105000</v>
      </c>
    </row>
    <row r="40" spans="1:4" ht="15.6" x14ac:dyDescent="0.3">
      <c r="A40" t="s">
        <v>212</v>
      </c>
      <c r="B40">
        <v>470000</v>
      </c>
      <c r="C40">
        <f>B40/$B$42</f>
        <v>5.964467005076142E-2</v>
      </c>
      <c r="D40">
        <f>B40/12</f>
        <v>39166.666666666664</v>
      </c>
    </row>
    <row r="41" spans="1:4" ht="15.6" x14ac:dyDescent="0.3">
      <c r="A41" t="s">
        <v>213</v>
      </c>
      <c r="B41">
        <v>60000</v>
      </c>
      <c r="C41">
        <f>B41/$B$42</f>
        <v>7.6142131979695434E-3</v>
      </c>
      <c r="D41">
        <f>B41/12</f>
        <v>5000</v>
      </c>
    </row>
    <row r="42" spans="1:4" ht="15.6" x14ac:dyDescent="0.3">
      <c r="A42" t="s">
        <v>214</v>
      </c>
      <c r="B42">
        <f>SUM(B37:B41)</f>
        <v>7880000</v>
      </c>
      <c r="C42">
        <f>SUM(C37:C41)</f>
        <v>1</v>
      </c>
      <c r="D42">
        <f>SUM(D37:D41)</f>
        <v>656666.66666666663</v>
      </c>
    </row>
    <row r="43" spans="1:4" ht="15.6" x14ac:dyDescent="0.3">
      <c r="A43" t="s">
        <v>1</v>
      </c>
    </row>
    <row r="44" spans="1:4" ht="15.6" x14ac:dyDescent="0.3">
      <c r="A44" t="s">
        <v>215</v>
      </c>
    </row>
    <row r="45" spans="1:4" ht="15.6" x14ac:dyDescent="0.3">
      <c r="A45" t="s">
        <v>189</v>
      </c>
      <c r="B45" t="s">
        <v>4</v>
      </c>
      <c r="C45" t="s">
        <v>216</v>
      </c>
    </row>
    <row r="46" spans="1:4" ht="15.6" x14ac:dyDescent="0.3">
      <c r="A46" t="s">
        <v>217</v>
      </c>
      <c r="B46">
        <v>155000</v>
      </c>
      <c r="C46" t="s">
        <v>218</v>
      </c>
    </row>
    <row r="47" spans="1:4" ht="15.6" x14ac:dyDescent="0.3">
      <c r="A47" t="s">
        <v>219</v>
      </c>
      <c r="B47">
        <v>210000</v>
      </c>
      <c r="C47" t="s">
        <v>220</v>
      </c>
    </row>
    <row r="48" spans="1:4" ht="15.6" x14ac:dyDescent="0.3">
      <c r="A48" t="s">
        <v>221</v>
      </c>
      <c r="B48">
        <v>30000</v>
      </c>
      <c r="C48" t="s">
        <v>222</v>
      </c>
    </row>
    <row r="49" spans="1:3" ht="15.6" x14ac:dyDescent="0.3">
      <c r="A49" t="s">
        <v>223</v>
      </c>
      <c r="B49">
        <f>SUM(B45:B48)</f>
        <v>395000</v>
      </c>
      <c r="C49" t="s">
        <v>224</v>
      </c>
    </row>
    <row r="50" spans="1:3" ht="15.6" x14ac:dyDescent="0.3">
      <c r="A50" t="s">
        <v>225</v>
      </c>
      <c r="B50">
        <v>0</v>
      </c>
      <c r="C50" t="s">
        <v>1</v>
      </c>
    </row>
    <row r="51" spans="1:3" ht="15.6" x14ac:dyDescent="0.3">
      <c r="A51" t="s">
        <v>226</v>
      </c>
      <c r="B51">
        <f>B49+B50</f>
        <v>395000</v>
      </c>
      <c r="C51" t="s">
        <v>227</v>
      </c>
    </row>
    <row r="52" spans="1:3" ht="15.6" x14ac:dyDescent="0.3">
      <c r="A52" t="s">
        <v>228</v>
      </c>
      <c r="B52">
        <v>0</v>
      </c>
      <c r="C52" t="s">
        <v>1</v>
      </c>
    </row>
    <row r="53" spans="1:3" ht="15.6" x14ac:dyDescent="0.3">
      <c r="A53" t="s">
        <v>1</v>
      </c>
    </row>
    <row r="54" spans="1:3" ht="15.6" x14ac:dyDescent="0.3">
      <c r="A54" t="s">
        <v>229</v>
      </c>
    </row>
    <row r="55" spans="1:3" ht="15.6" x14ac:dyDescent="0.3">
      <c r="A55" t="s">
        <v>78</v>
      </c>
      <c r="B55" t="s">
        <v>90</v>
      </c>
      <c r="C55" t="e">
        <f t="shared" ref="C55:C66" si="1">B55*12</f>
        <v>#VALUE!</v>
      </c>
    </row>
    <row r="56" spans="1:3" ht="15.6" x14ac:dyDescent="0.3">
      <c r="A56" t="s">
        <v>92</v>
      </c>
      <c r="B56">
        <v>140000</v>
      </c>
      <c r="C56">
        <f t="shared" si="1"/>
        <v>1680000</v>
      </c>
    </row>
    <row r="57" spans="1:3" ht="15.6" x14ac:dyDescent="0.3">
      <c r="A57" t="s">
        <v>93</v>
      </c>
      <c r="B57">
        <v>35000</v>
      </c>
      <c r="C57">
        <f t="shared" si="1"/>
        <v>420000</v>
      </c>
    </row>
    <row r="58" spans="1:3" ht="15.6" x14ac:dyDescent="0.3">
      <c r="A58" t="s">
        <v>94</v>
      </c>
      <c r="B58">
        <v>22000</v>
      </c>
      <c r="C58">
        <f t="shared" si="1"/>
        <v>264000</v>
      </c>
    </row>
    <row r="59" spans="1:3" ht="15.6" x14ac:dyDescent="0.3">
      <c r="A59" t="s">
        <v>95</v>
      </c>
      <c r="B59">
        <v>15000</v>
      </c>
      <c r="C59">
        <f t="shared" si="1"/>
        <v>180000</v>
      </c>
    </row>
    <row r="60" spans="1:3" ht="15.6" x14ac:dyDescent="0.3">
      <c r="A60" t="s">
        <v>96</v>
      </c>
      <c r="B60">
        <v>10000</v>
      </c>
      <c r="C60">
        <f t="shared" si="1"/>
        <v>120000</v>
      </c>
    </row>
    <row r="61" spans="1:3" ht="15.6" x14ac:dyDescent="0.3">
      <c r="A61" t="s">
        <v>97</v>
      </c>
      <c r="B61">
        <v>8000</v>
      </c>
      <c r="C61">
        <f t="shared" si="1"/>
        <v>96000</v>
      </c>
    </row>
    <row r="62" spans="1:3" ht="15.6" x14ac:dyDescent="0.3">
      <c r="A62" t="s">
        <v>98</v>
      </c>
      <c r="B62">
        <v>15000</v>
      </c>
      <c r="C62">
        <f t="shared" si="1"/>
        <v>180000</v>
      </c>
    </row>
    <row r="63" spans="1:3" ht="15.6" x14ac:dyDescent="0.3">
      <c r="A63" t="s">
        <v>99</v>
      </c>
      <c r="B63">
        <v>18000</v>
      </c>
      <c r="C63">
        <f t="shared" si="1"/>
        <v>216000</v>
      </c>
    </row>
    <row r="64" spans="1:3" ht="15.6" x14ac:dyDescent="0.3">
      <c r="A64" t="s">
        <v>100</v>
      </c>
      <c r="B64">
        <v>15000</v>
      </c>
      <c r="C64">
        <f t="shared" si="1"/>
        <v>180000</v>
      </c>
    </row>
    <row r="65" spans="1:7" ht="15.6" x14ac:dyDescent="0.3">
      <c r="A65" t="s">
        <v>230</v>
      </c>
      <c r="B65">
        <v>10000</v>
      </c>
      <c r="C65">
        <f t="shared" si="1"/>
        <v>120000</v>
      </c>
    </row>
    <row r="66" spans="1:7" ht="15.6" x14ac:dyDescent="0.3">
      <c r="A66" t="s">
        <v>102</v>
      </c>
      <c r="B66">
        <v>4000</v>
      </c>
      <c r="C66">
        <f t="shared" si="1"/>
        <v>48000</v>
      </c>
    </row>
    <row r="67" spans="1:7" ht="15.6" x14ac:dyDescent="0.3">
      <c r="A67" t="s">
        <v>103</v>
      </c>
      <c r="B67">
        <f>SUM(B55:B66)</f>
        <v>292000</v>
      </c>
      <c r="C67" t="e">
        <f>SUM(C55:C66)</f>
        <v>#VALUE!</v>
      </c>
    </row>
    <row r="68" spans="1:7" ht="15.6" x14ac:dyDescent="0.3">
      <c r="A68" t="s">
        <v>76</v>
      </c>
      <c r="B68">
        <v>0</v>
      </c>
      <c r="C68">
        <v>0</v>
      </c>
    </row>
    <row r="69" spans="1:7" ht="15.6" x14ac:dyDescent="0.3">
      <c r="A69" t="s">
        <v>1</v>
      </c>
    </row>
    <row r="70" spans="1:7" ht="15.6" x14ac:dyDescent="0.3">
      <c r="A70" t="s">
        <v>231</v>
      </c>
    </row>
    <row r="71" spans="1:7" ht="15.6" x14ac:dyDescent="0.3">
      <c r="A71" t="s">
        <v>189</v>
      </c>
      <c r="B71" t="s">
        <v>232</v>
      </c>
      <c r="C71" t="s">
        <v>233</v>
      </c>
      <c r="D71" t="s">
        <v>234</v>
      </c>
      <c r="E71" t="s">
        <v>8</v>
      </c>
      <c r="F71" t="s">
        <v>235</v>
      </c>
      <c r="G71">
        <f>SUM(B71:F71)</f>
        <v>0</v>
      </c>
    </row>
    <row r="72" spans="1:7" ht="15.6" x14ac:dyDescent="0.3">
      <c r="A72" t="s">
        <v>217</v>
      </c>
      <c r="B72">
        <v>150000</v>
      </c>
      <c r="C72">
        <v>465000</v>
      </c>
      <c r="D72">
        <v>75000</v>
      </c>
      <c r="E72">
        <v>53000</v>
      </c>
      <c r="F72">
        <v>146000</v>
      </c>
      <c r="G72">
        <f>SUM(B72:F72)</f>
        <v>889000</v>
      </c>
    </row>
    <row r="73" spans="1:7" ht="15.6" x14ac:dyDescent="0.3">
      <c r="A73" t="s">
        <v>219</v>
      </c>
      <c r="B73">
        <v>150000</v>
      </c>
      <c r="C73">
        <v>540000</v>
      </c>
      <c r="D73">
        <v>90000</v>
      </c>
      <c r="E73">
        <v>66000</v>
      </c>
      <c r="F73">
        <v>204000</v>
      </c>
      <c r="G73">
        <f>SUM(B73:F73)</f>
        <v>1050000</v>
      </c>
    </row>
    <row r="74" spans="1:7" ht="15.6" x14ac:dyDescent="0.3">
      <c r="A74" t="s">
        <v>221</v>
      </c>
      <c r="B74">
        <v>150000</v>
      </c>
      <c r="C74">
        <v>585000</v>
      </c>
      <c r="D74">
        <v>96000</v>
      </c>
      <c r="E74">
        <v>60000</v>
      </c>
      <c r="F74">
        <v>225000</v>
      </c>
      <c r="G74">
        <f>SUM(B74:F74)</f>
        <v>1116000</v>
      </c>
    </row>
    <row r="75" spans="1:7" ht="15.6" x14ac:dyDescent="0.3">
      <c r="A75" t="s">
        <v>223</v>
      </c>
      <c r="B75">
        <f t="shared" ref="B75:G75" si="2">SUM(B71:B74)</f>
        <v>450000</v>
      </c>
      <c r="C75">
        <f t="shared" si="2"/>
        <v>1590000</v>
      </c>
      <c r="D75">
        <f t="shared" si="2"/>
        <v>261000</v>
      </c>
      <c r="E75">
        <f t="shared" si="2"/>
        <v>179000</v>
      </c>
      <c r="F75">
        <f t="shared" si="2"/>
        <v>575000</v>
      </c>
      <c r="G75">
        <f t="shared" si="2"/>
        <v>3055000</v>
      </c>
    </row>
    <row r="76" spans="1:7" ht="15.6" x14ac:dyDescent="0.3">
      <c r="A76" t="s">
        <v>76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ht="15.6" x14ac:dyDescent="0.3">
      <c r="A77" t="s">
        <v>1</v>
      </c>
    </row>
    <row r="78" spans="1:7" ht="15.6" x14ac:dyDescent="0.3">
      <c r="A78" t="s">
        <v>236</v>
      </c>
    </row>
    <row r="79" spans="1:7" ht="15.6" x14ac:dyDescent="0.3">
      <c r="A79" t="s">
        <v>189</v>
      </c>
      <c r="B79" t="s">
        <v>237</v>
      </c>
      <c r="C79" t="s">
        <v>238</v>
      </c>
      <c r="D79" t="s">
        <v>8</v>
      </c>
      <c r="E79" t="s">
        <v>239</v>
      </c>
      <c r="F79" t="s">
        <v>235</v>
      </c>
      <c r="G79">
        <f>SUM(B79:F79)</f>
        <v>0</v>
      </c>
    </row>
    <row r="80" spans="1:7" ht="15.6" x14ac:dyDescent="0.3">
      <c r="A80" t="s">
        <v>240</v>
      </c>
      <c r="B80">
        <v>120000</v>
      </c>
      <c r="C80">
        <v>30000</v>
      </c>
      <c r="D80">
        <v>36000</v>
      </c>
      <c r="E80">
        <v>24000</v>
      </c>
      <c r="F80">
        <v>30000</v>
      </c>
      <c r="G80">
        <f>SUM(B80:F80)</f>
        <v>240000</v>
      </c>
    </row>
    <row r="81" spans="1:7" ht="15.6" x14ac:dyDescent="0.3">
      <c r="A81" t="s">
        <v>241</v>
      </c>
      <c r="B81">
        <v>135000</v>
      </c>
      <c r="C81">
        <v>18000</v>
      </c>
      <c r="D81">
        <v>30000</v>
      </c>
      <c r="E81">
        <v>24000</v>
      </c>
      <c r="F81">
        <v>33000</v>
      </c>
      <c r="G81">
        <f>SUM(B81:F81)</f>
        <v>240000</v>
      </c>
    </row>
    <row r="82" spans="1:7" ht="15.6" x14ac:dyDescent="0.3">
      <c r="A82" t="s">
        <v>242</v>
      </c>
      <c r="B82">
        <v>165000</v>
      </c>
      <c r="C82">
        <v>36000</v>
      </c>
      <c r="D82">
        <v>45000</v>
      </c>
      <c r="E82">
        <v>30000</v>
      </c>
      <c r="F82">
        <v>57000</v>
      </c>
      <c r="G82">
        <f>SUM(B82:F82)</f>
        <v>333000</v>
      </c>
    </row>
    <row r="83" spans="1:7" ht="15.6" x14ac:dyDescent="0.3">
      <c r="A83" t="s">
        <v>243</v>
      </c>
      <c r="B83">
        <f t="shared" ref="B83:G83" si="3">SUM(B79:B82)</f>
        <v>420000</v>
      </c>
      <c r="C83">
        <f t="shared" si="3"/>
        <v>84000</v>
      </c>
      <c r="D83">
        <f t="shared" si="3"/>
        <v>111000</v>
      </c>
      <c r="E83">
        <f t="shared" si="3"/>
        <v>78000</v>
      </c>
      <c r="F83">
        <f t="shared" si="3"/>
        <v>120000</v>
      </c>
      <c r="G83">
        <f t="shared" si="3"/>
        <v>813000</v>
      </c>
    </row>
    <row r="84" spans="1:7" ht="15.6" x14ac:dyDescent="0.3">
      <c r="A84" t="s">
        <v>76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ht="15.6" x14ac:dyDescent="0.3">
      <c r="A85" t="s">
        <v>1</v>
      </c>
    </row>
    <row r="86" spans="1:7" ht="15.6" x14ac:dyDescent="0.3">
      <c r="A86" t="s">
        <v>134</v>
      </c>
    </row>
    <row r="87" spans="1:7" ht="15.6" x14ac:dyDescent="0.3">
      <c r="A87" t="s">
        <v>135</v>
      </c>
      <c r="B87" t="s">
        <v>136</v>
      </c>
      <c r="C87" t="s">
        <v>244</v>
      </c>
    </row>
    <row r="88" spans="1:7" ht="15.6" x14ac:dyDescent="0.3">
      <c r="A88" t="s">
        <v>138</v>
      </c>
      <c r="B88" t="s">
        <v>245</v>
      </c>
      <c r="C88" t="s">
        <v>90</v>
      </c>
    </row>
    <row r="89" spans="1:7" ht="15.6" x14ac:dyDescent="0.3">
      <c r="A89" t="s">
        <v>246</v>
      </c>
      <c r="B89" t="s">
        <v>247</v>
      </c>
      <c r="C89" t="s">
        <v>90</v>
      </c>
    </row>
    <row r="90" spans="1:7" ht="15.6" x14ac:dyDescent="0.3">
      <c r="A90" t="s">
        <v>248</v>
      </c>
      <c r="B90" t="s">
        <v>249</v>
      </c>
      <c r="C90" t="s">
        <v>250</v>
      </c>
    </row>
    <row r="91" spans="1:7" ht="15.6" x14ac:dyDescent="0.3">
      <c r="A91" t="s">
        <v>150</v>
      </c>
      <c r="B91" t="s">
        <v>251</v>
      </c>
      <c r="C91" t="s">
        <v>250</v>
      </c>
    </row>
    <row r="92" spans="1:7" ht="15.6" x14ac:dyDescent="0.3">
      <c r="A92" t="s">
        <v>252</v>
      </c>
      <c r="B92" t="s">
        <v>253</v>
      </c>
      <c r="C92" t="s">
        <v>254</v>
      </c>
    </row>
    <row r="93" spans="1:7" ht="15.6" x14ac:dyDescent="0.3">
      <c r="A93" t="s">
        <v>255</v>
      </c>
      <c r="B93" t="s">
        <v>256</v>
      </c>
      <c r="C93" t="s">
        <v>257</v>
      </c>
    </row>
    <row r="94" spans="1:7" ht="15.6" x14ac:dyDescent="0.3">
      <c r="A94" t="s">
        <v>258</v>
      </c>
      <c r="B94" t="s">
        <v>259</v>
      </c>
      <c r="C94" t="s">
        <v>254</v>
      </c>
    </row>
    <row r="95" spans="1:7" ht="15.6" x14ac:dyDescent="0.3">
      <c r="A95" t="s">
        <v>260</v>
      </c>
      <c r="B95" t="s">
        <v>261</v>
      </c>
      <c r="C95" t="s">
        <v>257</v>
      </c>
    </row>
    <row r="96" spans="1:7" ht="15.6" x14ac:dyDescent="0.3">
      <c r="A96" t="s">
        <v>1</v>
      </c>
    </row>
    <row r="97" spans="1:3" ht="15.6" x14ac:dyDescent="0.3">
      <c r="A97" t="s">
        <v>262</v>
      </c>
    </row>
    <row r="98" spans="1:3" ht="15.6" x14ac:dyDescent="0.3">
      <c r="A98" t="s">
        <v>263</v>
      </c>
      <c r="B98" t="s">
        <v>4</v>
      </c>
      <c r="C98" t="s">
        <v>168</v>
      </c>
    </row>
    <row r="99" spans="1:3" ht="15.6" x14ac:dyDescent="0.3">
      <c r="A99" t="s">
        <v>264</v>
      </c>
      <c r="B99">
        <v>2000000</v>
      </c>
      <c r="C99" t="s">
        <v>265</v>
      </c>
    </row>
    <row r="100" spans="1:3" ht="15.6" x14ac:dyDescent="0.3">
      <c r="A100" t="s">
        <v>266</v>
      </c>
      <c r="B100">
        <v>350000</v>
      </c>
      <c r="C100" t="s">
        <v>267</v>
      </c>
    </row>
    <row r="101" spans="1:3" ht="15.6" x14ac:dyDescent="0.3">
      <c r="A101" t="s">
        <v>268</v>
      </c>
      <c r="B101">
        <v>1641000</v>
      </c>
      <c r="C101" t="s">
        <v>269</v>
      </c>
    </row>
    <row r="102" spans="1:3" ht="15.6" x14ac:dyDescent="0.3">
      <c r="A102" t="s">
        <v>270</v>
      </c>
      <c r="B102">
        <v>1000000</v>
      </c>
      <c r="C102" t="s">
        <v>271</v>
      </c>
    </row>
    <row r="103" spans="1:3" ht="15.6" x14ac:dyDescent="0.3">
      <c r="A103" t="s">
        <v>272</v>
      </c>
      <c r="B103">
        <v>1500000</v>
      </c>
      <c r="C103" t="s">
        <v>273</v>
      </c>
    </row>
    <row r="104" spans="1:3" ht="15.6" x14ac:dyDescent="0.3">
      <c r="A104" t="s">
        <v>1</v>
      </c>
    </row>
    <row r="105" spans="1:3" ht="15.6" x14ac:dyDescent="0.3">
      <c r="A105" t="s">
        <v>274</v>
      </c>
    </row>
    <row r="106" spans="1:3" ht="15.6" x14ac:dyDescent="0.3">
      <c r="A106" t="s">
        <v>275</v>
      </c>
      <c r="B106" t="s">
        <v>42</v>
      </c>
      <c r="C106" t="s">
        <v>4</v>
      </c>
    </row>
    <row r="107" spans="1:3" ht="15.6" x14ac:dyDescent="0.3">
      <c r="A107" t="s">
        <v>276</v>
      </c>
      <c r="B107" t="s">
        <v>206</v>
      </c>
      <c r="C107">
        <v>306200</v>
      </c>
    </row>
    <row r="108" spans="1:3" ht="15.6" x14ac:dyDescent="0.3">
      <c r="A108" t="s">
        <v>277</v>
      </c>
      <c r="B108" t="s">
        <v>203</v>
      </c>
      <c r="C108">
        <v>-3627925</v>
      </c>
    </row>
    <row r="109" spans="1:3" ht="15.6" x14ac:dyDescent="0.3">
      <c r="A109" t="s">
        <v>278</v>
      </c>
      <c r="B109" t="s">
        <v>279</v>
      </c>
      <c r="C109">
        <v>117750</v>
      </c>
    </row>
    <row r="110" spans="1:3" ht="15.6" x14ac:dyDescent="0.3">
      <c r="A110" t="s">
        <v>280</v>
      </c>
      <c r="B110" t="s">
        <v>281</v>
      </c>
      <c r="C110">
        <v>0</v>
      </c>
    </row>
    <row r="111" spans="1:3" ht="15.6" x14ac:dyDescent="0.3">
      <c r="A111" t="s">
        <v>1</v>
      </c>
    </row>
    <row r="112" spans="1:3" ht="15.6" x14ac:dyDescent="0.3">
      <c r="A112" t="s">
        <v>282</v>
      </c>
    </row>
    <row r="113" spans="1:4" ht="15.6" x14ac:dyDescent="0.3">
      <c r="A113" t="s">
        <v>283</v>
      </c>
      <c r="B113" t="s">
        <v>284</v>
      </c>
      <c r="C113" t="s">
        <v>285</v>
      </c>
      <c r="D113" t="s">
        <v>286</v>
      </c>
    </row>
    <row r="114" spans="1:4" ht="15.6" x14ac:dyDescent="0.3">
      <c r="A114" t="s">
        <v>287</v>
      </c>
      <c r="B114" t="s">
        <v>175</v>
      </c>
      <c r="C114" t="s">
        <v>175</v>
      </c>
      <c r="D114">
        <v>200000</v>
      </c>
    </row>
    <row r="115" spans="1:4" ht="15.6" x14ac:dyDescent="0.3">
      <c r="A115" t="s">
        <v>288</v>
      </c>
      <c r="B115" t="s">
        <v>181</v>
      </c>
      <c r="C115" t="s">
        <v>181</v>
      </c>
      <c r="D115">
        <f>SUM(D110:D114)</f>
        <v>200000</v>
      </c>
    </row>
    <row r="116" spans="1:4" ht="15.6" x14ac:dyDescent="0.3">
      <c r="A116" t="s">
        <v>289</v>
      </c>
      <c r="B116" t="s">
        <v>175</v>
      </c>
      <c r="C116" t="s">
        <v>290</v>
      </c>
      <c r="D116">
        <v>350000</v>
      </c>
    </row>
    <row r="117" spans="1:4" ht="15.6" x14ac:dyDescent="0.3">
      <c r="A117" t="s">
        <v>291</v>
      </c>
      <c r="B117" t="s">
        <v>181</v>
      </c>
      <c r="C117" t="s">
        <v>175</v>
      </c>
      <c r="D117">
        <v>100000</v>
      </c>
    </row>
    <row r="118" spans="1:4" ht="15.6" x14ac:dyDescent="0.3">
      <c r="A118" t="s">
        <v>292</v>
      </c>
      <c r="B118" t="s">
        <v>181</v>
      </c>
      <c r="C118" t="s">
        <v>181</v>
      </c>
      <c r="D118">
        <v>50000</v>
      </c>
    </row>
    <row r="119" spans="1:4" ht="15.6" x14ac:dyDescent="0.3">
      <c r="A119" t="s">
        <v>293</v>
      </c>
      <c r="B119" t="s">
        <v>1</v>
      </c>
      <c r="C119" t="s">
        <v>1</v>
      </c>
      <c r="D119">
        <v>0</v>
      </c>
    </row>
  </sheetData>
  <pageMargins left="0.7" right="0.7" top="0.75" bottom="0.75" header="0.3" footer="0.3"/>
  <ignoredErrors>
    <ignoredError sqref="A1:G1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Diversification</vt:lpstr>
      <vt:lpstr>Turnaround</vt:lpstr>
      <vt:lpstr>Wellness</vt:lpstr>
      <vt:lpstr>Monthly Income</vt:lpstr>
      <vt:lpstr>Budget Q1 2026</vt:lpstr>
      <vt:lpstr>Budget FY 2026-27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Attie Nel</cp:lastModifiedBy>
  <dcterms:modified xsi:type="dcterms:W3CDTF">2025-12-09T03:07:44Z</dcterms:modified>
</cp:coreProperties>
</file>